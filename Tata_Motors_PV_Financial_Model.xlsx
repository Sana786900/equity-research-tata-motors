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Asus\Downloads\_Cleanup_Verify\"/>
    </mc:Choice>
  </mc:AlternateContent>
  <xr:revisionPtr revIDLastSave="0" documentId="13_ncr:1_{0FBFD817-0750-45A2-8ACC-D3354441A75B}" xr6:coauthVersionLast="47" xr6:coauthVersionMax="47" xr10:uidLastSave="{00000000-0000-0000-0000-000000000000}"/>
  <bookViews>
    <workbookView minimized="1" xWindow="4500" yWindow="0" windowWidth="17280" windowHeight="9420" firstSheet="11" activeTab="11" xr2:uid="{00000000-000D-0000-FFFF-FFFF00000000}"/>
  </bookViews>
  <sheets>
    <sheet name="Cover" sheetId="1" r:id="rId1"/>
    <sheet name="Historical Data" sheetId="3" r:id="rId2"/>
    <sheet name="Assumptions" sheetId="2" r:id="rId3"/>
    <sheet name="Ratio Analysis" sheetId="10" r:id="rId4"/>
    <sheet name="Working Capital Schedule" sheetId="12" r:id="rId5"/>
    <sheet name="Dep &amp; Capex Schedule" sheetId="11" r:id="rId6"/>
    <sheet name="Debt Schedule" sheetId="13" r:id="rId7"/>
    <sheet name="Income Statement" sheetId="14" r:id="rId8"/>
    <sheet name="Balance Sheet" sheetId="15" r:id="rId9"/>
    <sheet name="Cash Flow" sheetId="16" r:id="rId10"/>
    <sheet name="Valuation" sheetId="7" r:id="rId11"/>
    <sheet name="Recommendation" sheetId="9" r:id="rId12"/>
    <sheet name="Charts &amp; Trends" sheetId="18" r:id="rId13"/>
    <sheet name="Checks" sheetId="17" r:id="rId1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6" i="9" l="1"/>
  <c r="D6" i="9" l="1"/>
  <c r="F46" i="18"/>
  <c r="E46" i="18"/>
  <c r="D46" i="18"/>
  <c r="C46" i="18"/>
  <c r="G43" i="18"/>
  <c r="F43" i="18"/>
  <c r="E43" i="18"/>
  <c r="D43" i="18"/>
  <c r="C43" i="18"/>
  <c r="C25" i="14"/>
  <c r="C40" i="2"/>
  <c r="D35" i="2"/>
  <c r="E35" i="2" s="1"/>
  <c r="F35" i="2" s="1"/>
  <c r="G35" i="2" s="1"/>
  <c r="H35" i="2" s="1"/>
  <c r="C37" i="2"/>
  <c r="C39" i="2" s="1"/>
  <c r="C41" i="2" s="1"/>
  <c r="C6" i="12"/>
  <c r="C12" i="15"/>
  <c r="C15" i="15" s="1"/>
  <c r="D10" i="15"/>
  <c r="E10" i="15" s="1"/>
  <c r="C8" i="15"/>
  <c r="D16" i="16" s="1"/>
  <c r="D5" i="15"/>
  <c r="E5" i="15" s="1"/>
  <c r="F5" i="15" s="1"/>
  <c r="G5" i="15" s="1"/>
  <c r="H5" i="15" s="1"/>
  <c r="H10" i="14"/>
  <c r="G10" i="14"/>
  <c r="F10" i="14"/>
  <c r="E10" i="14"/>
  <c r="D10" i="14"/>
  <c r="C9" i="14"/>
  <c r="C7" i="10" s="1"/>
  <c r="D4" i="14"/>
  <c r="D17" i="7" s="1"/>
  <c r="F13" i="3"/>
  <c r="G13" i="3"/>
  <c r="H13" i="3"/>
  <c r="I13" i="3"/>
  <c r="J13" i="3"/>
  <c r="K13" i="3"/>
  <c r="L13" i="3"/>
  <c r="M13" i="3"/>
  <c r="N13" i="3"/>
  <c r="D13" i="3"/>
  <c r="E13" i="3"/>
  <c r="C13" i="3"/>
  <c r="H11" i="13"/>
  <c r="G11" i="13"/>
  <c r="F11" i="13"/>
  <c r="E11" i="13"/>
  <c r="D11" i="13"/>
  <c r="H11" i="12"/>
  <c r="G11" i="12"/>
  <c r="F11" i="12"/>
  <c r="E11" i="12"/>
  <c r="D11" i="12"/>
  <c r="H10" i="12"/>
  <c r="G10" i="12"/>
  <c r="F10" i="12"/>
  <c r="E10" i="12"/>
  <c r="D10" i="12"/>
  <c r="H9" i="12"/>
  <c r="G9" i="12"/>
  <c r="F9" i="12"/>
  <c r="E9" i="12"/>
  <c r="D9" i="12"/>
  <c r="H8" i="12"/>
  <c r="G8" i="12"/>
  <c r="F8" i="12"/>
  <c r="E8" i="12"/>
  <c r="D8" i="12"/>
  <c r="H7" i="12"/>
  <c r="G7" i="12"/>
  <c r="F7" i="12"/>
  <c r="E7" i="12"/>
  <c r="D7" i="12"/>
  <c r="H7" i="11"/>
  <c r="H6" i="11"/>
  <c r="G7" i="11"/>
  <c r="G6" i="11"/>
  <c r="F7" i="11"/>
  <c r="F6" i="11"/>
  <c r="E7" i="11"/>
  <c r="E6" i="11"/>
  <c r="D7" i="11"/>
  <c r="D6" i="11"/>
  <c r="C14" i="12"/>
  <c r="C5" i="12"/>
  <c r="C15" i="12" s="1"/>
  <c r="C8" i="12" s="1"/>
  <c r="D5" i="13"/>
  <c r="C12" i="13"/>
  <c r="C8" i="13"/>
  <c r="D13" i="11"/>
  <c r="C16" i="11"/>
  <c r="C10" i="11"/>
  <c r="C5" i="11"/>
  <c r="D36" i="3"/>
  <c r="E36" i="3"/>
  <c r="F36" i="3"/>
  <c r="G36" i="3"/>
  <c r="H36" i="3"/>
  <c r="I36" i="3"/>
  <c r="J36" i="3"/>
  <c r="K36" i="3"/>
  <c r="L36" i="3"/>
  <c r="M36" i="3"/>
  <c r="N36" i="3"/>
  <c r="C36" i="3"/>
  <c r="D29" i="3"/>
  <c r="E29" i="3"/>
  <c r="F29" i="3"/>
  <c r="G29" i="3"/>
  <c r="H29" i="3"/>
  <c r="I29" i="3"/>
  <c r="J29" i="3"/>
  <c r="K29" i="3"/>
  <c r="L29" i="3"/>
  <c r="M29" i="3"/>
  <c r="N29" i="3"/>
  <c r="D24" i="3"/>
  <c r="E24" i="3"/>
  <c r="F24" i="3"/>
  <c r="G24" i="3"/>
  <c r="H24" i="3"/>
  <c r="I24" i="3"/>
  <c r="J24" i="3"/>
  <c r="K24" i="3"/>
  <c r="L24" i="3"/>
  <c r="M24" i="3"/>
  <c r="N24" i="3"/>
  <c r="C29" i="3"/>
  <c r="C24" i="3"/>
  <c r="C29" i="10"/>
  <c r="C23" i="10"/>
  <c r="C21" i="10"/>
  <c r="C20" i="10"/>
  <c r="C6" i="10"/>
  <c r="C34" i="7"/>
  <c r="C5" i="9" s="1"/>
  <c r="C32" i="7"/>
  <c r="C30" i="7"/>
  <c r="C29" i="7"/>
  <c r="C28" i="7"/>
  <c r="C10" i="7"/>
  <c r="F40" i="7" s="1"/>
  <c r="C7" i="7"/>
  <c r="C6" i="7"/>
  <c r="C5" i="7"/>
  <c r="C4" i="7"/>
  <c r="D37" i="2" l="1"/>
  <c r="E37" i="2" s="1"/>
  <c r="F37" i="2" s="1"/>
  <c r="G37" i="2" s="1"/>
  <c r="H37" i="2" s="1"/>
  <c r="E39" i="2"/>
  <c r="F39" i="2"/>
  <c r="H39" i="2"/>
  <c r="G39" i="2"/>
  <c r="D40" i="2"/>
  <c r="I50" i="9"/>
  <c r="C73" i="7"/>
  <c r="D82" i="7"/>
  <c r="D10" i="11"/>
  <c r="D8" i="14" s="1"/>
  <c r="D5" i="16" s="1"/>
  <c r="C12" i="14"/>
  <c r="C9" i="15"/>
  <c r="C16" i="15" s="1"/>
  <c r="D5" i="14"/>
  <c r="C16" i="10"/>
  <c r="D6" i="14"/>
  <c r="D6" i="12" s="1"/>
  <c r="F10" i="15"/>
  <c r="E4" i="14"/>
  <c r="H43" i="18" s="1"/>
  <c r="C17" i="12"/>
  <c r="C15" i="10"/>
  <c r="C53" i="18" s="1"/>
  <c r="C16" i="12"/>
  <c r="C10" i="12" s="1"/>
  <c r="C7" i="12"/>
  <c r="D5" i="12"/>
  <c r="D5" i="11"/>
  <c r="D14" i="11" s="1"/>
  <c r="D10" i="16" s="1"/>
  <c r="D11" i="16" s="1"/>
  <c r="D12" i="13"/>
  <c r="D11" i="14" s="1"/>
  <c r="G40" i="7"/>
  <c r="H40" i="7"/>
  <c r="C17" i="10"/>
  <c r="C32" i="10"/>
  <c r="C33" i="10"/>
  <c r="D37" i="10"/>
  <c r="C10" i="10"/>
  <c r="C14" i="10"/>
  <c r="C28" i="10"/>
  <c r="C8" i="7"/>
  <c r="C9" i="7" s="1"/>
  <c r="E40" i="7"/>
  <c r="D40" i="7"/>
  <c r="D39" i="2" l="1"/>
  <c r="D41" i="2" s="1"/>
  <c r="D15" i="12"/>
  <c r="D17" i="12"/>
  <c r="E5" i="12"/>
  <c r="E16" i="12" s="1"/>
  <c r="E40" i="2"/>
  <c r="C18" i="12"/>
  <c r="C11" i="12" s="1"/>
  <c r="C9" i="12"/>
  <c r="C14" i="14"/>
  <c r="C15" i="14" s="1"/>
  <c r="C22" i="14"/>
  <c r="C24" i="14" s="1"/>
  <c r="C26" i="14" s="1"/>
  <c r="C49" i="18" s="1"/>
  <c r="E41" i="2"/>
  <c r="D9" i="14"/>
  <c r="D12" i="14" s="1"/>
  <c r="D13" i="14" s="1"/>
  <c r="D14" i="14" s="1"/>
  <c r="D7" i="14"/>
  <c r="G46" i="18" s="1"/>
  <c r="G10" i="15"/>
  <c r="F4" i="14"/>
  <c r="I43" i="18" s="1"/>
  <c r="E5" i="14"/>
  <c r="E37" i="10" s="1"/>
  <c r="E6" i="14"/>
  <c r="E6" i="12" s="1"/>
  <c r="H20" i="7"/>
  <c r="G20" i="7"/>
  <c r="F20" i="7"/>
  <c r="E20" i="7"/>
  <c r="D20" i="7"/>
  <c r="D16" i="12"/>
  <c r="D14" i="12"/>
  <c r="D6" i="15" s="1"/>
  <c r="D18" i="12"/>
  <c r="D6" i="10"/>
  <c r="E17" i="7"/>
  <c r="E14" i="12"/>
  <c r="E6" i="15" s="1"/>
  <c r="E18" i="12"/>
  <c r="D15" i="11"/>
  <c r="E5" i="11"/>
  <c r="C30" i="10"/>
  <c r="C22" i="10"/>
  <c r="C42" i="7"/>
  <c r="C43" i="7"/>
  <c r="C45" i="7"/>
  <c r="C41" i="7"/>
  <c r="C44" i="7"/>
  <c r="D4" i="16" l="1"/>
  <c r="D49" i="18"/>
  <c r="E15" i="12"/>
  <c r="E7" i="15" s="1"/>
  <c r="E17" i="12"/>
  <c r="C8" i="10"/>
  <c r="C9" i="10"/>
  <c r="F6" i="12"/>
  <c r="F40" i="2"/>
  <c r="F41" i="2" s="1"/>
  <c r="C19" i="12"/>
  <c r="D6" i="16"/>
  <c r="C11" i="10"/>
  <c r="E6" i="16"/>
  <c r="D7" i="15"/>
  <c r="D7" i="16" s="1"/>
  <c r="E14" i="15"/>
  <c r="D14" i="15"/>
  <c r="D8" i="16" s="1"/>
  <c r="H10" i="15"/>
  <c r="D15" i="14"/>
  <c r="D16" i="14"/>
  <c r="E7" i="14"/>
  <c r="H46" i="18" s="1"/>
  <c r="E6" i="10"/>
  <c r="F6" i="14"/>
  <c r="F6" i="10" s="1"/>
  <c r="G4" i="14"/>
  <c r="J43" i="18" s="1"/>
  <c r="F5" i="14"/>
  <c r="F37" i="10" s="1"/>
  <c r="F5" i="12"/>
  <c r="F17" i="7"/>
  <c r="D19" i="12"/>
  <c r="D22" i="12" s="1"/>
  <c r="E19" i="12"/>
  <c r="D16" i="11"/>
  <c r="D4" i="15" s="1"/>
  <c r="E14" i="11"/>
  <c r="E10" i="16" s="1"/>
  <c r="E11" i="16" s="1"/>
  <c r="F5" i="11"/>
  <c r="C31" i="10"/>
  <c r="C27" i="10"/>
  <c r="G40" i="2" l="1"/>
  <c r="G41" i="2" s="1"/>
  <c r="F17" i="12"/>
  <c r="F15" i="12"/>
  <c r="E22" i="12"/>
  <c r="H83" i="7"/>
  <c r="H82" i="7"/>
  <c r="C59" i="7"/>
  <c r="H81" i="7"/>
  <c r="D11" i="15"/>
  <c r="D13" i="16"/>
  <c r="D9" i="16"/>
  <c r="E8" i="16"/>
  <c r="E7" i="16"/>
  <c r="D12" i="15"/>
  <c r="H4" i="14"/>
  <c r="K43" i="18" s="1"/>
  <c r="G6" i="14"/>
  <c r="G6" i="10" s="1"/>
  <c r="G5" i="14"/>
  <c r="G37" i="10" s="1"/>
  <c r="F7" i="14"/>
  <c r="I46" i="18" s="1"/>
  <c r="F14" i="12"/>
  <c r="F6" i="15" s="1"/>
  <c r="F16" i="12"/>
  <c r="F18" i="12"/>
  <c r="G17" i="7"/>
  <c r="E13" i="11"/>
  <c r="E10" i="11" s="1"/>
  <c r="E8" i="14" s="1"/>
  <c r="D21" i="10"/>
  <c r="D20" i="10"/>
  <c r="D23" i="10"/>
  <c r="D18" i="7"/>
  <c r="G5" i="12"/>
  <c r="D16" i="7"/>
  <c r="G5" i="11"/>
  <c r="F14" i="11"/>
  <c r="F10" i="16" s="1"/>
  <c r="F11" i="16" s="1"/>
  <c r="H5" i="12"/>
  <c r="F7" i="15" l="1"/>
  <c r="F7" i="16" s="1"/>
  <c r="G6" i="12"/>
  <c r="F6" i="16"/>
  <c r="H40" i="2"/>
  <c r="H41" i="2" s="1"/>
  <c r="C63" i="7"/>
  <c r="C70" i="7" s="1"/>
  <c r="C62" i="7"/>
  <c r="C69" i="7" s="1"/>
  <c r="C7" i="9" s="1"/>
  <c r="C61" i="7"/>
  <c r="C68" i="7" s="1"/>
  <c r="F14" i="15"/>
  <c r="F8" i="16" s="1"/>
  <c r="E9" i="14"/>
  <c r="E5" i="16"/>
  <c r="E15" i="11"/>
  <c r="E16" i="11" s="1"/>
  <c r="E4" i="15" s="1"/>
  <c r="F19" i="12"/>
  <c r="F22" i="12" s="1"/>
  <c r="G7" i="14"/>
  <c r="J46" i="18" s="1"/>
  <c r="H5" i="14"/>
  <c r="H37" i="10" s="1"/>
  <c r="H6" i="14"/>
  <c r="H6" i="10" s="1"/>
  <c r="H17" i="7"/>
  <c r="G16" i="12"/>
  <c r="G18" i="12"/>
  <c r="G14" i="12"/>
  <c r="G6" i="15" s="1"/>
  <c r="G6" i="16" s="1"/>
  <c r="H16" i="12"/>
  <c r="H18" i="12"/>
  <c r="H14" i="12"/>
  <c r="H6" i="15" s="1"/>
  <c r="D7" i="10"/>
  <c r="D14" i="7"/>
  <c r="D15" i="7" s="1"/>
  <c r="D19" i="7" s="1"/>
  <c r="D52" i="18" s="1"/>
  <c r="D17" i="10"/>
  <c r="H5" i="11"/>
  <c r="E18" i="7"/>
  <c r="E23" i="10"/>
  <c r="E20" i="10"/>
  <c r="G14" i="11"/>
  <c r="G10" i="16" s="1"/>
  <c r="G11" i="16" s="1"/>
  <c r="C10" i="17" l="1" a="1"/>
  <c r="C10" i="17" s="1"/>
  <c r="D10" i="17" s="1"/>
  <c r="H6" i="12"/>
  <c r="G17" i="12"/>
  <c r="G14" i="15" s="1"/>
  <c r="G8" i="16" s="1"/>
  <c r="G15" i="12"/>
  <c r="G7" i="15" s="1"/>
  <c r="G7" i="16" s="1"/>
  <c r="H6" i="16"/>
  <c r="H7" i="14"/>
  <c r="K46" i="18" s="1"/>
  <c r="D21" i="7"/>
  <c r="D38" i="10"/>
  <c r="F13" i="11"/>
  <c r="E16" i="7"/>
  <c r="G19" i="12"/>
  <c r="G22" i="12" s="1"/>
  <c r="E21" i="10"/>
  <c r="D8" i="10"/>
  <c r="H14" i="11"/>
  <c r="H10" i="16" s="1"/>
  <c r="H11" i="16" s="1"/>
  <c r="F18" i="7"/>
  <c r="F20" i="10"/>
  <c r="F23" i="10"/>
  <c r="E7" i="10"/>
  <c r="E14" i="7"/>
  <c r="E15" i="7" s="1"/>
  <c r="H15" i="12" l="1"/>
  <c r="H17" i="12"/>
  <c r="H14" i="15" s="1"/>
  <c r="H8" i="16" s="1"/>
  <c r="E19" i="7"/>
  <c r="E52" i="18" s="1"/>
  <c r="F10" i="11"/>
  <c r="F8" i="14" s="1"/>
  <c r="D30" i="10"/>
  <c r="D29" i="10"/>
  <c r="D7" i="13"/>
  <c r="D27" i="10"/>
  <c r="D31" i="10"/>
  <c r="G23" i="10"/>
  <c r="G18" i="7"/>
  <c r="G20" i="10"/>
  <c r="D28" i="10"/>
  <c r="D32" i="10"/>
  <c r="D9" i="10"/>
  <c r="H19" i="12" l="1"/>
  <c r="H22" i="12" s="1"/>
  <c r="H7" i="15"/>
  <c r="H7" i="16" s="1"/>
  <c r="E21" i="7"/>
  <c r="F9" i="14"/>
  <c r="F5" i="16"/>
  <c r="D6" i="13"/>
  <c r="D8" i="13" s="1"/>
  <c r="D13" i="15" s="1"/>
  <c r="F16" i="7"/>
  <c r="F15" i="11"/>
  <c r="F16" i="11" s="1"/>
  <c r="F4" i="15" s="1"/>
  <c r="H23" i="10"/>
  <c r="H20" i="10"/>
  <c r="H18" i="7"/>
  <c r="D15" i="15" l="1"/>
  <c r="D12" i="16"/>
  <c r="D14" i="16" s="1"/>
  <c r="D15" i="16" s="1"/>
  <c r="D17" i="16" s="1"/>
  <c r="E16" i="16" s="1"/>
  <c r="E5" i="13"/>
  <c r="E12" i="13" s="1"/>
  <c r="E11" i="14" s="1"/>
  <c r="E12" i="14" s="1"/>
  <c r="F21" i="10"/>
  <c r="G13" i="11"/>
  <c r="G10" i="11" s="1"/>
  <c r="G8" i="14" s="1"/>
  <c r="F14" i="7"/>
  <c r="F15" i="7" s="1"/>
  <c r="F19" i="7" s="1"/>
  <c r="F52" i="18" s="1"/>
  <c r="F7" i="10"/>
  <c r="D8" i="15"/>
  <c r="D10" i="10"/>
  <c r="D14" i="10"/>
  <c r="D9" i="15" l="1"/>
  <c r="D16" i="15"/>
  <c r="G9" i="14"/>
  <c r="G5" i="16"/>
  <c r="E13" i="14"/>
  <c r="E14" i="14" s="1"/>
  <c r="F21" i="7"/>
  <c r="G15" i="11"/>
  <c r="G16" i="11" s="1"/>
  <c r="E17" i="10"/>
  <c r="E4" i="16" l="1"/>
  <c r="E9" i="16" s="1"/>
  <c r="E49" i="18"/>
  <c r="G4" i="15"/>
  <c r="G21" i="10" s="1"/>
  <c r="E15" i="14"/>
  <c r="E16" i="14"/>
  <c r="H13" i="11"/>
  <c r="H10" i="11" s="1"/>
  <c r="H8" i="14" s="1"/>
  <c r="G16" i="7"/>
  <c r="H15" i="11"/>
  <c r="E8" i="10"/>
  <c r="E38" i="10"/>
  <c r="D15" i="10"/>
  <c r="D53" i="18" s="1"/>
  <c r="D33" i="10"/>
  <c r="D16" i="10"/>
  <c r="H9" i="14" l="1"/>
  <c r="H5" i="16"/>
  <c r="E11" i="15"/>
  <c r="E13" i="16"/>
  <c r="G14" i="7"/>
  <c r="G15" i="7" s="1"/>
  <c r="G19" i="7" s="1"/>
  <c r="G52" i="18" s="1"/>
  <c r="G7" i="10"/>
  <c r="H16" i="11"/>
  <c r="H4" i="15" s="1"/>
  <c r="C9" i="17" s="1" a="1"/>
  <c r="C9" i="17" s="1"/>
  <c r="D9" i="17" s="1"/>
  <c r="H16" i="7"/>
  <c r="E30" i="10"/>
  <c r="E29" i="10"/>
  <c r="E7" i="13"/>
  <c r="E27" i="10"/>
  <c r="E31" i="10"/>
  <c r="D22" i="10"/>
  <c r="D11" i="10"/>
  <c r="E12" i="15" l="1"/>
  <c r="G21" i="7"/>
  <c r="E6" i="13"/>
  <c r="E8" i="13" s="1"/>
  <c r="E13" i="15" s="1"/>
  <c r="H21" i="10"/>
  <c r="H14" i="7"/>
  <c r="H15" i="7" s="1"/>
  <c r="H19" i="7" s="1"/>
  <c r="H7" i="10"/>
  <c r="G41" i="7" l="1"/>
  <c r="H52" i="18"/>
  <c r="E81" i="7"/>
  <c r="E83" i="7"/>
  <c r="E82" i="7"/>
  <c r="E15" i="15"/>
  <c r="E12" i="16"/>
  <c r="E14" i="16" s="1"/>
  <c r="E15" i="16" s="1"/>
  <c r="E17" i="16" s="1"/>
  <c r="F16" i="16" s="1"/>
  <c r="F44" i="7"/>
  <c r="G45" i="7"/>
  <c r="E44" i="7"/>
  <c r="F42" i="7"/>
  <c r="F41" i="7"/>
  <c r="D45" i="7"/>
  <c r="H45" i="7"/>
  <c r="H43" i="7"/>
  <c r="D42" i="7"/>
  <c r="D44" i="7"/>
  <c r="G43" i="7"/>
  <c r="F43" i="7"/>
  <c r="D41" i="7"/>
  <c r="H41" i="7"/>
  <c r="D43" i="7"/>
  <c r="E42" i="7"/>
  <c r="F45" i="7"/>
  <c r="G44" i="7"/>
  <c r="G42" i="7"/>
  <c r="H44" i="7"/>
  <c r="E43" i="7"/>
  <c r="H42" i="7"/>
  <c r="E45" i="7"/>
  <c r="E41" i="7"/>
  <c r="H21" i="7"/>
  <c r="C24" i="7" s="1"/>
  <c r="C25" i="7"/>
  <c r="C26" i="7" s="1"/>
  <c r="E28" i="10"/>
  <c r="E32" i="10"/>
  <c r="E9" i="10"/>
  <c r="F5" i="13"/>
  <c r="C76" i="7" l="1"/>
  <c r="C27" i="7"/>
  <c r="C31" i="7" s="1"/>
  <c r="E8" i="15"/>
  <c r="E14" i="10"/>
  <c r="F12" i="13"/>
  <c r="F11" i="14" s="1"/>
  <c r="F12" i="14" s="1"/>
  <c r="E10" i="10"/>
  <c r="C36" i="7" l="1"/>
  <c r="E9" i="15"/>
  <c r="E16" i="15" s="1"/>
  <c r="C33" i="7"/>
  <c r="F13" i="14"/>
  <c r="F14" i="14" s="1"/>
  <c r="F17" i="10"/>
  <c r="F4" i="16" l="1"/>
  <c r="F9" i="16" s="1"/>
  <c r="F49" i="18"/>
  <c r="I51" i="9"/>
  <c r="C11" i="17"/>
  <c r="D11" i="17" s="1"/>
  <c r="C72" i="7"/>
  <c r="C67" i="7"/>
  <c r="C35" i="7"/>
  <c r="F15" i="14"/>
  <c r="F16" i="14"/>
  <c r="E16" i="10"/>
  <c r="E15" i="10"/>
  <c r="E53" i="18" s="1"/>
  <c r="E33" i="10"/>
  <c r="F38" i="10"/>
  <c r="F8" i="10"/>
  <c r="C6" i="9" l="1"/>
  <c r="C9" i="9" s="1"/>
  <c r="C10" i="9" s="1"/>
  <c r="C74" i="7"/>
  <c r="C75" i="7" s="1"/>
  <c r="C8" i="9" s="1"/>
  <c r="F11" i="15"/>
  <c r="F13" i="16"/>
  <c r="F7" i="13" s="1"/>
  <c r="F29" i="10"/>
  <c r="F30" i="10"/>
  <c r="F31" i="10"/>
  <c r="F27" i="10"/>
  <c r="E22" i="10"/>
  <c r="E11" i="10"/>
  <c r="F12" i="15" l="1"/>
  <c r="F6" i="13"/>
  <c r="F8" i="13" s="1"/>
  <c r="F28" i="10"/>
  <c r="F32" i="10"/>
  <c r="F9" i="10"/>
  <c r="G5" i="13" l="1"/>
  <c r="G12" i="13" s="1"/>
  <c r="G11" i="14" s="1"/>
  <c r="G12" i="14" s="1"/>
  <c r="F13" i="15"/>
  <c r="F15" i="15" l="1"/>
  <c r="F12" i="16"/>
  <c r="F14" i="16" s="1"/>
  <c r="F15" i="16" s="1"/>
  <c r="F17" i="16" s="1"/>
  <c r="G16" i="16" s="1"/>
  <c r="F14" i="10"/>
  <c r="G13" i="14"/>
  <c r="G14" i="14" s="1"/>
  <c r="F10" i="10"/>
  <c r="G17" i="10"/>
  <c r="G4" i="16" l="1"/>
  <c r="G9" i="16" s="1"/>
  <c r="G49" i="18"/>
  <c r="F8" i="15"/>
  <c r="G16" i="14"/>
  <c r="G15" i="14"/>
  <c r="G38" i="10"/>
  <c r="G8" i="10"/>
  <c r="F9" i="15" l="1"/>
  <c r="F16" i="15" s="1"/>
  <c r="F15" i="10"/>
  <c r="F53" i="18" s="1"/>
  <c r="F33" i="10"/>
  <c r="F16" i="10"/>
  <c r="G11" i="15"/>
  <c r="G13" i="16"/>
  <c r="G7" i="13" s="1"/>
  <c r="G31" i="10"/>
  <c r="G27" i="10"/>
  <c r="G30" i="10"/>
  <c r="G29" i="10"/>
  <c r="F22" i="10"/>
  <c r="F11" i="10"/>
  <c r="G12" i="15" l="1"/>
  <c r="G6" i="13"/>
  <c r="G8" i="13" s="1"/>
  <c r="G13" i="15" s="1"/>
  <c r="G32" i="10"/>
  <c r="G28" i="10"/>
  <c r="G9" i="10"/>
  <c r="G15" i="15" l="1"/>
  <c r="G12" i="16"/>
  <c r="G14" i="16" s="1"/>
  <c r="G15" i="16" s="1"/>
  <c r="G17" i="16" s="1"/>
  <c r="H16" i="16" s="1"/>
  <c r="H5" i="13"/>
  <c r="G8" i="15" l="1"/>
  <c r="G14" i="10"/>
  <c r="G10" i="10"/>
  <c r="H12" i="13"/>
  <c r="H11" i="14" s="1"/>
  <c r="H12" i="14" s="1"/>
  <c r="G9" i="15" l="1"/>
  <c r="G16" i="15" s="1"/>
  <c r="H13" i="14"/>
  <c r="H14" i="14" s="1"/>
  <c r="H17" i="10"/>
  <c r="H4" i="16" l="1"/>
  <c r="H9" i="16" s="1"/>
  <c r="H49" i="18"/>
  <c r="H16" i="14"/>
  <c r="H15" i="14"/>
  <c r="G33" i="10"/>
  <c r="G15" i="10"/>
  <c r="G53" i="18" s="1"/>
  <c r="G16" i="10"/>
  <c r="H8" i="10"/>
  <c r="H38" i="10"/>
  <c r="H11" i="15" l="1"/>
  <c r="H13" i="16"/>
  <c r="H7" i="13" s="1"/>
  <c r="H29" i="10"/>
  <c r="H30" i="10"/>
  <c r="H27" i="10"/>
  <c r="H31" i="10"/>
  <c r="G22" i="10"/>
  <c r="G11" i="10"/>
  <c r="H12" i="15" l="1"/>
  <c r="H28" i="10" s="1"/>
  <c r="C7" i="17" a="1"/>
  <c r="C7" i="17" s="1"/>
  <c r="D7" i="17" s="1"/>
  <c r="H9" i="10"/>
  <c r="H32" i="10"/>
  <c r="H6" i="13"/>
  <c r="H8" i="13" s="1"/>
  <c r="H13" i="15" s="1"/>
  <c r="C8" i="17" s="1" a="1"/>
  <c r="C8" i="17" s="1"/>
  <c r="D8" i="17" s="1"/>
  <c r="H15" i="15" l="1"/>
  <c r="H12" i="16"/>
  <c r="H14" i="16" s="1"/>
  <c r="H15" i="16" s="1"/>
  <c r="H17" i="16" s="1"/>
  <c r="H14" i="10"/>
  <c r="H10" i="10"/>
  <c r="H8" i="15" l="1"/>
  <c r="H9" i="15" l="1"/>
  <c r="H16" i="15" s="1"/>
  <c r="C5" i="17" s="1" a="1"/>
  <c r="C5" i="17" s="1"/>
  <c r="D5" i="17" s="1"/>
  <c r="C6" i="17" a="1"/>
  <c r="C6" i="17" s="1"/>
  <c r="D6" i="17" s="1"/>
  <c r="H33" i="10"/>
  <c r="H15" i="10"/>
  <c r="H53" i="18" s="1"/>
  <c r="H16" i="10"/>
  <c r="H22" i="10"/>
  <c r="H11" i="10"/>
</calcChain>
</file>

<file path=xl/sharedStrings.xml><?xml version="1.0" encoding="utf-8"?>
<sst xmlns="http://schemas.openxmlformats.org/spreadsheetml/2006/main" count="610" uniqueCount="445">
  <si>
    <t>KEY DATA NOTES</t>
  </si>
  <si>
    <t>ASSUMPTIONS &amp; DRIVERS</t>
  </si>
  <si>
    <t>Blue cells = inputs. ₹ Cr unless stated. Year drivers in columns C–G apply to FY27E–FY31E.</t>
  </si>
  <si>
    <t>GLOBAL</t>
  </si>
  <si>
    <t>Risk-free rate (India 10Y G-sec)</t>
  </si>
  <si>
    <t>Equity risk premium (India)</t>
  </si>
  <si>
    <t>Valuation date</t>
  </si>
  <si>
    <t>17-Aug-2026</t>
  </si>
  <si>
    <t>Current market price (₹/share)</t>
  </si>
  <si>
    <t>screener.in, 17-Aug-2026</t>
  </si>
  <si>
    <t>Shares outstanding (Cr)</t>
  </si>
  <si>
    <t>Equity capital ₹737 Cr / FV ₹2</t>
  </si>
  <si>
    <t>Tax rate (forecast)</t>
  </si>
  <si>
    <t>Beta (levered)</t>
  </si>
  <si>
    <t>JLR cyclicality + demerger uncertainty</t>
  </si>
  <si>
    <t>Pre-tax cost of debt</t>
  </si>
  <si>
    <t>Terminal growth rate</t>
  </si>
  <si>
    <t>Cash &amp; equivalents FY26 (₹ Cr)</t>
  </si>
  <si>
    <t>Derived: borrowings 79,109 − investments 26,313 − net debt 30,710</t>
  </si>
  <si>
    <t>FY27E</t>
  </si>
  <si>
    <t>FY28E</t>
  </si>
  <si>
    <t>FY29E</t>
  </si>
  <si>
    <t>FY30E</t>
  </si>
  <si>
    <t>FY31E</t>
  </si>
  <si>
    <t>Revenue growth %</t>
  </si>
  <si>
    <t>EBITDA margin %</t>
  </si>
  <si>
    <t>Other income (₹ Cr, normalized)</t>
  </si>
  <si>
    <t>Interest rate on opening borrowings</t>
  </si>
  <si>
    <t>Capex % of revenue</t>
  </si>
  <si>
    <t>Dividend payout % of PAT</t>
  </si>
  <si>
    <t>Receivable days (on revenue)</t>
  </si>
  <si>
    <t>FY26: 14 days</t>
  </si>
  <si>
    <t>TMPV (TATA MOTORS PASSENGER VEHICLES) — HISTORICAL, FY15–FY26</t>
  </si>
  <si>
    <t>Source: screener.in consolidated (fetched 17-Aug-2026). ₹ Cr.</t>
  </si>
  <si>
    <t>PROFIT &amp; LOSS</t>
  </si>
  <si>
    <t>FY15</t>
  </si>
  <si>
    <t>FY16</t>
  </si>
  <si>
    <t>FY17</t>
  </si>
  <si>
    <t>FY18</t>
  </si>
  <si>
    <t>FY19</t>
  </si>
  <si>
    <t>FY20</t>
  </si>
  <si>
    <t>FY21</t>
  </si>
  <si>
    <t>FY22</t>
  </si>
  <si>
    <t>FY23</t>
  </si>
  <si>
    <t>FY24</t>
  </si>
  <si>
    <t>FY25</t>
  </si>
  <si>
    <t>FY26</t>
  </si>
  <si>
    <t>Sales</t>
  </si>
  <si>
    <t>Expenses</t>
  </si>
  <si>
    <t>Operating Profit (EBITDA)</t>
  </si>
  <si>
    <t>OPM %</t>
  </si>
  <si>
    <t>Other Income</t>
  </si>
  <si>
    <t>Interest</t>
  </si>
  <si>
    <t>Depreciation</t>
  </si>
  <si>
    <t>Profit Before Tax</t>
  </si>
  <si>
    <t>Tax %</t>
  </si>
  <si>
    <t>Net Profit</t>
  </si>
  <si>
    <t>EPS (₹)</t>
  </si>
  <si>
    <t>BALANCE SHEET</t>
  </si>
  <si>
    <t>Equity Capital</t>
  </si>
  <si>
    <t>Reserves</t>
  </si>
  <si>
    <t>Borrowings</t>
  </si>
  <si>
    <t>Other Liabilities</t>
  </si>
  <si>
    <t>Total Liabilities</t>
  </si>
  <si>
    <t>Fixed Assets</t>
  </si>
  <si>
    <t>CWIP</t>
  </si>
  <si>
    <t>Investments</t>
  </si>
  <si>
    <t>Other Assets</t>
  </si>
  <si>
    <t>Total Assets</t>
  </si>
  <si>
    <t>CASH FLOW</t>
  </si>
  <si>
    <t>Cash from Operations</t>
  </si>
  <si>
    <t>Cash from Investing</t>
  </si>
  <si>
    <t>Cash from Financing</t>
  </si>
  <si>
    <t>Net Cash Flow</t>
  </si>
  <si>
    <t>EFFICIENCY RATIOS</t>
  </si>
  <si>
    <t>ROCE %</t>
  </si>
  <si>
    <t>Debtor Days</t>
  </si>
  <si>
    <t>Inventory Days</t>
  </si>
  <si>
    <t>Days Payable</t>
  </si>
  <si>
    <t>Cash Conversion Cycle</t>
  </si>
  <si>
    <t>Working Capital Days</t>
  </si>
  <si>
    <t>NOTE: FY15–FY24 = old combined Tata Motors; FY25–FY26 restated for PV+JLR continuing operations.</t>
  </si>
  <si>
    <t>FY26 Other Income includes ₹86,291 Cr one-off demerger gain. FY26 hit by 5-week JLR cyberattack shutdown.</t>
  </si>
  <si>
    <t>CAGR (screener): Sales 10y 2% / 5y 6% / 3y −1% / TTM −6%; PAT 10y 21% / 5y 101% / 3y 232% / TTM −94%.</t>
  </si>
  <si>
    <t>Shareholding Jun-26: Promoters 42.51%, FII 17.11%, DII 16.97%, Govt 0.31%, Public 23.09%.</t>
  </si>
  <si>
    <t>FY26 'Other Assets' split used by the model: Receivables ₹12,872 (14 days) + Cash ₹22,086 (net-debt derived) + Residual ₹110,608.</t>
  </si>
  <si>
    <t>FY26A</t>
  </si>
  <si>
    <t>INCOME STATEMENT</t>
  </si>
  <si>
    <t>Revenue</t>
  </si>
  <si>
    <t>Growth %</t>
  </si>
  <si>
    <t>EBITDA (Operating Profit)</t>
  </si>
  <si>
    <t>EBIT</t>
  </si>
  <si>
    <t>Other income</t>
  </si>
  <si>
    <t>Interest expense</t>
  </si>
  <si>
    <t>Profit before tax</t>
  </si>
  <si>
    <t>Tax</t>
  </si>
  <si>
    <t>PAT</t>
  </si>
  <si>
    <t>Dividends paid</t>
  </si>
  <si>
    <t>Net fixed assets (incl. CWIP)</t>
  </si>
  <si>
    <t>Receivables</t>
  </si>
  <si>
    <t>Other assets (incl. inventory)</t>
  </si>
  <si>
    <t>Cash &amp; equivalents</t>
  </si>
  <si>
    <t>TOTAL ASSETS</t>
  </si>
  <si>
    <t>Equity share capital</t>
  </si>
  <si>
    <t>Total equity</t>
  </si>
  <si>
    <t>Other liabilities (incl. payables)</t>
  </si>
  <si>
    <t>TOTAL EQUITY &amp; LIABILITIES</t>
  </si>
  <si>
    <t>Balance check (must be 0)</t>
  </si>
  <si>
    <t>+ Depreciation</t>
  </si>
  <si>
    <t>− Increase in receivables</t>
  </si>
  <si>
    <t>− Increase in other assets</t>
  </si>
  <si>
    <t>+ Increase in other liabilities</t>
  </si>
  <si>
    <t>Cash from operations</t>
  </si>
  <si>
    <t>− Capex</t>
  </si>
  <si>
    <t>Cash from investing</t>
  </si>
  <si>
    <t>− Debt repayment</t>
  </si>
  <si>
    <t>− Dividends paid</t>
  </si>
  <si>
    <t>Cash from financing</t>
  </si>
  <si>
    <t>Net change in cash</t>
  </si>
  <si>
    <t>Opening cash</t>
  </si>
  <si>
    <t>Closing cash</t>
  </si>
  <si>
    <t>FY26A as reported (restated PV+JLR). FY26 other income contains a ₹86,291 Cr one-off demerger gain;</t>
  </si>
  <si>
    <t>forecasts use normalized other income from Assumptions. FY26 dividends estimated from 0.91% yield.</t>
  </si>
  <si>
    <t>Cash is the balancing plug (CF closing cash). Balance check row must be 0 in every year.</t>
  </si>
  <si>
    <t>TMPV — DCF VALUATION (FCFF)</t>
  </si>
  <si>
    <t>Cost of equity (Ke)</t>
  </si>
  <si>
    <t>Post-tax cost of debt</t>
  </si>
  <si>
    <t>Market value of equity (₹ Cr)</t>
  </si>
  <si>
    <t>Debt (FY26 borrowings, ₹ Cr)</t>
  </si>
  <si>
    <t>Weight of equity</t>
  </si>
  <si>
    <t>WACC</t>
  </si>
  <si>
    <t>Terminal growth (g)</t>
  </si>
  <si>
    <t>NOPAT (EBIT × (1−t))</t>
  </si>
  <si>
    <t>− Increase in working capital</t>
  </si>
  <si>
    <t>FCFF</t>
  </si>
  <si>
    <t>Discount factor</t>
  </si>
  <si>
    <t>PV of FCFF</t>
  </si>
  <si>
    <t>PV of explicit FCFF (FY27–31)</t>
  </si>
  <si>
    <t>Terminal value at FY31</t>
  </si>
  <si>
    <t>PV of terminal value</t>
  </si>
  <si>
    <t>Enterprise value</t>
  </si>
  <si>
    <t>+ Cash &amp; equivalents (FY26)</t>
  </si>
  <si>
    <t>+ Investments (FY26)</t>
  </si>
  <si>
    <t>− Borrowings (FY26)</t>
  </si>
  <si>
    <t>EQUITY VALUE (₹ Cr)</t>
  </si>
  <si>
    <t>INTRINSIC VALUE PER SHARE (₹)</t>
  </si>
  <si>
    <t>Current market price (₹)</t>
  </si>
  <si>
    <t>Upside / (downside)</t>
  </si>
  <si>
    <t>WACC \ g</t>
  </si>
  <si>
    <t>FY27E EPS (₹)</t>
  </si>
  <si>
    <t>RATIO ANALYSIS — FY26A &amp; FORECAST (FY27E–FY31E)</t>
  </si>
  <si>
    <t>How to read</t>
  </si>
  <si>
    <t>Profitability</t>
  </si>
  <si>
    <t>Operating profit per ₹1 of revenue — the core margin lever.</t>
  </si>
  <si>
    <t>EBIT margin %</t>
  </si>
  <si>
    <t>Margin after depreciation; what operations earn before funding costs.</t>
  </si>
  <si>
    <t>Net profit margin %</t>
  </si>
  <si>
    <t>PAT per ₹1 of revenue. FY26A inflated by the one-off demerger gain.</t>
  </si>
  <si>
    <t>Return on equity (ROE) %</t>
  </si>
  <si>
    <t>PAT / shareholders' funds — the owners' return.</t>
  </si>
  <si>
    <t>Return on capital employed (ROCE) %</t>
  </si>
  <si>
    <t>EBIT / (equity + borrowings) — return on all long-term capital.</t>
  </si>
  <si>
    <t>Return on assets (ROA) %</t>
  </si>
  <si>
    <t>PAT / total assets.</t>
  </si>
  <si>
    <t>Leverage &amp; solvency</t>
  </si>
  <si>
    <t>Debt / equity (x)</t>
  </si>
  <si>
    <t>Borrowings vs owners' funds; &lt;1x is comfortable.</t>
  </si>
  <si>
    <t>Net debt (₹ Cr)</t>
  </si>
  <si>
    <t>Borrowings − cash − investments. Negative = net cash. Matches company disclosure basis.</t>
  </si>
  <si>
    <t>Net debt / EBITDA (x)</t>
  </si>
  <si>
    <t>Years of EBITDA needed to repay net debt; &lt;2x is safe, negative = net cash.</t>
  </si>
  <si>
    <t>Interest coverage (EBIT/interest, x)</t>
  </si>
  <si>
    <t>How many times operating profit covers interest; &gt;3x is comfortable.</t>
  </si>
  <si>
    <t>Efficiency</t>
  </si>
  <si>
    <t>Receivable days</t>
  </si>
  <si>
    <t>Days of sales locked in receivables (assumption-driven).</t>
  </si>
  <si>
    <t>Fixed asset turnover (x)</t>
  </si>
  <si>
    <t>Revenue per ₹1 of net fixed assets.</t>
  </si>
  <si>
    <t>Total asset turnover (x)</t>
  </si>
  <si>
    <t>Revenue per ₹1 of total assets.</t>
  </si>
  <si>
    <t>Working capital days</t>
  </si>
  <si>
    <t>Negative = suppliers/customers fund operations (auto-OEM norm).</t>
  </si>
  <si>
    <t>Per-share &amp; valuation (at current market price)</t>
  </si>
  <si>
    <t>PAT / shares outstanding.</t>
  </si>
  <si>
    <t>Book value per share (₹)</t>
  </si>
  <si>
    <t>Equity / shares.</t>
  </si>
  <si>
    <t>Dividend per share (₹)</t>
  </si>
  <si>
    <t>Dividend payout %</t>
  </si>
  <si>
    <t>Share of PAT returned to shareholders.</t>
  </si>
  <si>
    <t>P/E (x)</t>
  </si>
  <si>
    <t>Price vs earnings: falling forward P/E on a flat price = earnings growth.</t>
  </si>
  <si>
    <t>P/B (x)</t>
  </si>
  <si>
    <t>Price vs book value.</t>
  </si>
  <si>
    <t>EV / EBITDA (x)</t>
  </si>
  <si>
    <t>Capital-structure-neutral valuation multiple.</t>
  </si>
  <si>
    <t>Growth</t>
  </si>
  <si>
    <t>n.m.</t>
  </si>
  <si>
    <t>PAT growth %</t>
  </si>
  <si>
    <t>FY27E vs FY26A is not meaningful where FY26 PAT carries one-offs.</t>
  </si>
  <si>
    <t>Note: FY26A interest coverage / ROE / NPM are distorted (one-off demerger gain; cyberattack-hit EBIT). Historical screener ratios are on the TMPV Historical tab.</t>
  </si>
  <si>
    <t>TMPV — DEPRECIATION &amp; CAPEX SCHEDULE (₹ Cr)</t>
  </si>
  <si>
    <t>DRIVERS</t>
  </si>
  <si>
    <t>n.a.</t>
  </si>
  <si>
    <t>DEPRECIATION</t>
  </si>
  <si>
    <t>NET PP&amp;E ROLL-FORWARD (INCL. CWIP)</t>
  </si>
  <si>
    <t>Beginning Net PP&amp;E</t>
  </si>
  <si>
    <t>+ Capital expenditure</t>
  </si>
  <si>
    <t>− Depreciation</t>
  </si>
  <si>
    <t>Ending Net PP&amp;E</t>
  </si>
  <si>
    <t>TMPV — WORKING CAPITAL SCHEDULE (₹ Cr)</t>
  </si>
  <si>
    <t>WORKING CAPITAL BALANCES</t>
  </si>
  <si>
    <t>Net working capital</t>
  </si>
  <si>
    <t>CHANGE IN WORKING CAPITAL</t>
  </si>
  <si>
    <t>Increase / (decrease) in NWC</t>
  </si>
  <si>
    <t>TMPV — DEBT &amp; INTEREST SCHEDULE (₹ Cr)</t>
  </si>
  <si>
    <t>BORROWINGS ROLL-FORWARD</t>
  </si>
  <si>
    <t>Beginning balance</t>
  </si>
  <si>
    <t>Ending balance</t>
  </si>
  <si>
    <t>INTEREST EXPENSE</t>
  </si>
  <si>
    <t>Feeds the Model: 'Interest expense' (P&amp;L) and 'Borrowings' (BS).</t>
  </si>
  <si>
    <t xml:space="preserve">TMPV — TATA MOTORS PASSENGER VEHICLES </t>
  </si>
  <si>
    <t>Cut from 4% per analyst review — JLR-dominated cash flows, mature global market</t>
  </si>
  <si>
    <t>Depreciation % of opening net PP&amp;E</t>
  </si>
  <si>
    <t>Debt repayment — superseded by cash sweep</t>
  </si>
  <si>
    <t>Replaced by cash-sweep logic on the Debt Schedule (min-cash floor below)</t>
  </si>
  <si>
    <t>Other assets (residual) % of revenue</t>
  </si>
  <si>
    <t>Other liabilities (residual) % of revenue</t>
  </si>
  <si>
    <t>FY26 residual after payables carve-out (₹42,758 Cr = 12.7%)</t>
  </si>
  <si>
    <t>Minimum operating cash (₹ Cr)</t>
  </si>
  <si>
    <t>Cash floor for the debt sweep (~4% of revenue); excess cash repays borrowings</t>
  </si>
  <si>
    <t>Feeds the Model: 'Depreciation' (P&amp;L) and 'Net fixed assets' (BS). Depreciation is driven by opening net PP&amp;E (asset base), not revenue.</t>
  </si>
  <si>
    <t>Inventory</t>
  </si>
  <si>
    <t>Other assets (residual)</t>
  </si>
  <si>
    <t>Payables</t>
  </si>
  <si>
    <t>Other liabilities (residual)</t>
  </si>
  <si>
    <t>Cash sweep: all cash above the minimum-cash floor (Assumptions) repays debt each year. No circularity — interest accrues on OPENING debt and the sweep uses same-year pre-financing cash flows.</t>
  </si>
  <si>
    <t>Linked to asset base: FY26 dep ₹19,784 Cr ≈ 11% of opening net PP&amp;E</t>
  </si>
  <si>
    <t>Trimmed (analyst review); excludes FY26 one-off ₹86,291 Cr</t>
  </si>
  <si>
    <t>FY26 implied ~4-5% on opening debt</t>
  </si>
  <si>
    <t>Front-loaded EV capex, tapering (analyst review)</t>
  </si>
  <si>
    <t>FY26 residual after receivables+inventory carve-out (₹32,459 Cr = 9.7%)</t>
  </si>
  <si>
    <t>Issuance is an automatic revolver — if pre-financing cash falls below the minimum-cash floor, debt is issued to restore the floor. Interest income sits inside 'Other income'.</t>
  </si>
  <si>
    <t>(All figures in ₹ Crores except per-share data)</t>
  </si>
  <si>
    <t>Actual</t>
  </si>
  <si>
    <t>Forecasts</t>
  </si>
  <si>
    <t>CASH FLOW STATEMENT</t>
  </si>
  <si>
    <t>Trend</t>
  </si>
  <si>
    <t>TATA MOTORS PASSENGER VEHICLES (TMPV)</t>
  </si>
  <si>
    <t>Integrated Three-Statement Financial Model &amp; Valuation</t>
  </si>
  <si>
    <t>Company</t>
  </si>
  <si>
    <t>Sector</t>
  </si>
  <si>
    <t>Historical Period</t>
  </si>
  <si>
    <t>FY2015 – FY2026 (FY25–FY26 restated PV+JLR post demerger)</t>
  </si>
  <si>
    <t>Forecast Period</t>
  </si>
  <si>
    <t>FY2027E – FY2031E</t>
  </si>
  <si>
    <t>Valuation Methods</t>
  </si>
  <si>
    <t>Discounted Cash Flow (FCFF, primary) + Relative Valuation (cross-check)</t>
  </si>
  <si>
    <t>Prepared As On</t>
  </si>
  <si>
    <t>Currency</t>
  </si>
  <si>
    <t>INR Crores unless stated otherwise</t>
  </si>
  <si>
    <t>Primary Data Sources</t>
  </si>
  <si>
    <t>screener.in (consolidated) · company FY26 disclosures</t>
  </si>
  <si>
    <t>BLUE - Constants</t>
  </si>
  <si>
    <t>BLACK - Formulas (same sheet)</t>
  </si>
  <si>
    <t>GREEN - Links to other sheets</t>
  </si>
  <si>
    <t>Workbook Map</t>
  </si>
  <si>
    <t>Historical Data</t>
  </si>
  <si>
    <t>FY15–FY26 historical P&amp;L, balance sheet, cash flow (screener.in consolidated)</t>
  </si>
  <si>
    <t>Ratio Analysis</t>
  </si>
  <si>
    <t>Profitability, leverage, efficiency, per-share &amp; growth ratios FY26A–FY31E</t>
  </si>
  <si>
    <t>Assumptions</t>
  </si>
  <si>
    <t>All forecast drivers (blue cells = editable inputs)</t>
  </si>
  <si>
    <t>Working Capital Schedule</t>
  </si>
  <si>
    <t>Receivables / other assets / liabilities via days &amp; %-of-revenue drivers</t>
  </si>
  <si>
    <t>Dep &amp; Capex Schedule</t>
  </si>
  <si>
    <t>Net PP&amp;E roll-forward: capex additions, depreciation</t>
  </si>
  <si>
    <t>Debt Schedule</t>
  </si>
  <si>
    <t>Borrowings roll-forward with cash sweep, auto-revolver and interest</t>
  </si>
  <si>
    <t>Income Statement</t>
  </si>
  <si>
    <t>Projected P&amp;L FY27E–FY31E</t>
  </si>
  <si>
    <t>Balance Sheet</t>
  </si>
  <si>
    <t>Projected balance sheet (balances by construction; cash = CF plug)</t>
  </si>
  <si>
    <t>Cash Flow</t>
  </si>
  <si>
    <t>Projected cash flow (closing cash links back to balance sheet)</t>
  </si>
  <si>
    <t>Valuation</t>
  </si>
  <si>
    <t>DCF (FCFF, mid-year) + sensitivity + relative valuation + scenarios</t>
  </si>
  <si>
    <t>Recommendation</t>
  </si>
  <si>
    <t>Buy / Hold / Sell with rationale, risks and action triggers</t>
  </si>
  <si>
    <t>Demerger — Effective 1-Oct-2025 the CV business was demerged; TMPV (PV + JLR) is the original listed company. FY15–FY24 history is the old combined Tata Motors; FY25–FY26 are restated PV+JLR.</t>
  </si>
  <si>
    <t>FY26 one-off — Other income includes a ₹86,291 Cr demerger-related exceptional gain; forecasts use normalized other income from Assumptions.</t>
  </si>
  <si>
    <t>JLR cyberattack — A Sep-2025 cyberattack shut JLR production ~5 weeks; FY26 revenue/margins are depressed and the forecast assumes recovery.</t>
  </si>
  <si>
    <t>Cash anchors — Screener lumps cash into 'Other Assets'; FY26 cash is derived from the disclosed net debt of ₹30,710 Cr.</t>
  </si>
  <si>
    <t>1. COST OF CAPITAL (WACC)</t>
  </si>
  <si>
    <t>2. FREE CASH FLOW TO FIRM (FCFF)</t>
  </si>
  <si>
    <t>3. DCF VALUATION</t>
  </si>
  <si>
    <t>4. DCF SENSITIVITY — INTRINSIC VALUE PER SHARE (₹)</t>
  </si>
  <si>
    <t>5. RELATIVE VALUATION (COMPARABLE COMPANIES)</t>
  </si>
  <si>
    <t>6. VALUATION SUMMARY &amp; VERDICT</t>
  </si>
  <si>
    <t>7. SCENARIO ANALYSIS — BEAR / BASE / BULL</t>
  </si>
  <si>
    <t>Peer</t>
  </si>
  <si>
    <t>P/E (times)</t>
  </si>
  <si>
    <t>Source: screener.in, 20-Aug-2026</t>
  </si>
  <si>
    <t>Mahindra &amp; Mahindra</t>
  </si>
  <si>
    <t>Maruti Suzuki</t>
  </si>
  <si>
    <t>Hyundai Motor India</t>
  </si>
  <si>
    <t>Target multiple (times)</t>
  </si>
  <si>
    <t>Bridge: pure-India PV peers trade 22–37×; TMPV earns most revenue from JLR (global luxury OEMs trade 5–10×) → blended ~16×.</t>
  </si>
  <si>
    <t>Bear case: 12 times FY27E EPS (₹/share)</t>
  </si>
  <si>
    <t>BASE CASE: 16 times FY27E EPS (₹/share)</t>
  </si>
  <si>
    <t>Bull case: 20 times FY27E EPS (₹/share)</t>
  </si>
  <si>
    <t>DCF intrinsic value (₹)</t>
  </si>
  <si>
    <t>primary method — pure cash-flow maths</t>
  </si>
  <si>
    <t>Relative — bear 12 times (₹)</t>
  </si>
  <si>
    <t>Relative — base 16 times (₹)</t>
  </si>
  <si>
    <t>Relative — bull 20 times (₹)</t>
  </si>
  <si>
    <t>cross-check — pure-India peers are imperfect comps for the JLR-heavy mix</t>
  </si>
  <si>
    <t>FAIR VALUE (base case, ₹/share)</t>
  </si>
  <si>
    <t>DCF is the primary method; relative valuation is the cross-check</t>
  </si>
  <si>
    <t>CMP vs fair value</t>
  </si>
  <si>
    <t>VERDICT</t>
  </si>
  <si>
    <t>Case</t>
  </si>
  <si>
    <t>FCFF scale</t>
  </si>
  <si>
    <t>Terminal g</t>
  </si>
  <si>
    <t>DCF ₹/share</t>
  </si>
  <si>
    <t>EPS scale</t>
  </si>
  <si>
    <t>Relative ₹/share</t>
  </si>
  <si>
    <t>What the case assumes</t>
  </si>
  <si>
    <t>Bear</t>
  </si>
  <si>
    <t>JLR demand stays weak (China/EU luxury slump, tariff drag); India PV share slips — FCFF ~15% lower, EPS ~15% lower, multiple de-rates.</t>
  </si>
  <si>
    <t>Base</t>
  </si>
  <si>
    <t>The model's central case (as built above).</t>
  </si>
  <si>
    <t>Bull</t>
  </si>
  <si>
    <t>JLR margin recovery beats plan and India EV lead widens — FCFF ~10% higher; market re-rates toward pure-India peers.</t>
  </si>
  <si>
    <t>Even the Bear case's DCF value sits above today's price — the market is pricing JLR stress as permanent.</t>
  </si>
  <si>
    <t>INVESTMENT RECOMMENDATION</t>
  </si>
  <si>
    <t>RECOMMENDATION</t>
  </si>
  <si>
    <t>Fair value — base case (₹)</t>
  </si>
  <si>
    <t>Relative cross-check — base 16× (₹)</t>
  </si>
  <si>
    <t>Valuation verdict</t>
  </si>
  <si>
    <t>Expected return to fair value</t>
  </si>
  <si>
    <t>RATING (12 months)</t>
  </si>
  <si>
    <t>BUY — the DCF says the market is pricing JLR's stress as permanent. Sized for a 12-month recovery in JLR volumes/margins; the relative cross-check (₹ vs pure-India peers) is less reliable given the mix.</t>
  </si>
  <si>
    <t>WHY — THE FOUR PILLARS OF THE CALL</t>
  </si>
  <si>
    <t>Growth prospects</t>
  </si>
  <si>
    <t>RECOVERING</t>
  </si>
  <si>
    <t>FY26 was cyberattack- and tariff-hit; the model assumes revenue rebuilds at the Assumptions-tab growth path with JLR volumes normalising and India PV riding new launches/EVs.</t>
  </si>
  <si>
    <t>Competitive position</t>
  </si>
  <si>
    <t>MIXED BUT IMPROVING</t>
  </si>
  <si>
    <t>India #3 in PV with the EV lead (Nexon/Punch/Tiago EV franchise); JLR owns genuinely premium brands (Defender, Range Rover) but is exposed to China/EU luxury cycles.</t>
  </si>
  <si>
    <t>Financial strength</t>
  </si>
  <si>
    <t>IMPROVING</t>
  </si>
  <si>
    <t>Net debt ₹30,710 Cr at FY26 with a deleveraging path in the Debt Schedule (cash sweep + ₹15,000 Cr cash floor revolver); interest cover improves through the forecast.</t>
  </si>
  <si>
    <t>THE OPPORTUNITY</t>
  </si>
  <si>
    <t>KEY RISKS TO THE CALL</t>
  </si>
  <si>
    <t>Downside risks</t>
  </si>
  <si>
    <t>(1) JLR volume/margin recovery from the Sep-2025 cyberattack proves slower than assumed; (2) China/EU luxury demand stays weak or US tariffs escalate; (3) EV transition capex rises faster than the capex assumption; (4) FY26 baseline distortions (one-off gain excluded, but margins depressed) make forecast error larger than usual.</t>
  </si>
  <si>
    <t>Upside risks (what could make BUY conservative)</t>
  </si>
  <si>
    <t>(1) JLR margins recover faster on Defender/Range Rover mix; (2) India PV share gains accelerate with EV leadership; (3) a re-rating toward even the Bear-case relative multiple adds to DCF-driven upside.</t>
  </si>
  <si>
    <t>WHAT TO DO — ACTION TRIGGERS</t>
  </si>
  <si>
    <t>If you own the stock</t>
  </si>
  <si>
    <t>Keep it — the DCF says intrinsic value is well above price and the balance sheet is deleveraging.</t>
  </si>
  <si>
    <t>If you want to buy</t>
  </si>
  <si>
    <t>Current price (~₹331) is already ~34% below DCF fair value; accumulating here is consistent with the model. Averaging on JLR-news dips improves the entry.</t>
  </si>
  <si>
    <t>Re-rate the call UP if</t>
  </si>
  <si>
    <t>JLR EBIT margin normalises ahead of plan, India PV market share crosses its recent highs, or net debt falls faster than the Debt Schedule path.</t>
  </si>
  <si>
    <t>Re-rate the call DOWN if</t>
  </si>
  <si>
    <t>JLR volumes fail to recover by mid-FY27, EBITDA margin undershoots the Assumptions path, or net debt rises instead of falling.</t>
  </si>
  <si>
    <t>Bottom line: a recovering franchise priced for permanent stress. BUY.</t>
  </si>
  <si>
    <t>Series</t>
  </si>
  <si>
    <t>Market price (₹)</t>
  </si>
  <si>
    <t>Intrinsic value, DCF (₹)</t>
  </si>
  <si>
    <t>Tata Motors Passenger Vehicles Ltd (NSE: TMPV)</t>
  </si>
  <si>
    <t>Automobiles — Passenger Vehicles + Jaguar Land Rover</t>
  </si>
  <si>
    <t>20 August 2026</t>
  </si>
  <si>
    <t>Operating costs (revenue − EBITDA)</t>
  </si>
  <si>
    <t>Inventory days (on operating costs)</t>
  </si>
  <si>
    <t>Payable days (on operating costs)</t>
  </si>
  <si>
    <t>Inventory and payable days are driven off operating costs (revenue − EBITDA), the economically relevant base (analyst red-flags review, Aug-2026). FY26 balances are unchanged: the screener carve-out (85/158 days of revenue) equals 90.0/167.3 days of operating costs.</t>
  </si>
  <si>
    <t>Negative NWC (supplier credit + customer advances funding operations) is the auto-OEM norm. The deepening trend is a ratio-extrapolation assumption — monitor supplier terms, mix and financing arrangements.</t>
  </si>
  <si>
    <t>FY26 anchor: inventory carve-out = 90.0 days of operating costs (was 85 days of revenue)</t>
  </si>
  <si>
    <t>FY26 anchor: payables carve-out = 167.3 days of operating costs (was 158 days of revenue)</t>
  </si>
  <si>
    <t>RBI 10Y G-sec yield, Aug-2026</t>
  </si>
  <si>
    <t>India equity risk premium (Damodaran-style), Aug-2026</t>
  </si>
  <si>
    <t>CMP, market cap and net-debt anchors aligned to this date</t>
  </si>
  <si>
    <t>Assumed refinancing rate; FY26 implied cost on opening debt ~4-5%</t>
  </si>
  <si>
    <t>FY27 = JLR post-cyberattack volume recovery + India PV growth — reconciled to segments in the cross-check below</t>
  </si>
  <si>
    <t>Ramp: JLR mix (Range Rover/Defender) + India PV operating leverage; capped below FY25 restated peak of 13.1%</t>
  </si>
  <si>
    <t>SEGMENT CROSS-CHECK — REVENUE (JLR vs INDIA PV)</t>
  </si>
  <si>
    <t>JLR revenue (₹ Cr)</t>
  </si>
  <si>
    <t>JLR FY26 revenue £22.9bn (FY26 results, May-2026) × ~₹114/£ ≈ ₹2,61,000 Cr — editable</t>
  </si>
  <si>
    <t>JLR revenue growth %</t>
  </si>
  <si>
    <t>India PV &amp; other revenue (₹ Cr)</t>
  </si>
  <si>
    <t>India PV growth %</t>
  </si>
  <si>
    <t>Implied total revenue</t>
  </si>
  <si>
    <t>Model consolidated revenue</t>
  </si>
  <si>
    <t>Difference % (≈ 0 validates the consolidated growth path)</t>
  </si>
  <si>
    <t>Turns the top-down growth assumption into segment operating paths (red-flags review #3). Tune JLR/India growth so the difference stays near 0.</t>
  </si>
  <si>
    <t>FY26 REPORTED → NORMALIZED EARNINGS BRIDGE</t>
  </si>
  <si>
    <t>Reported PBT (FY26A)</t>
  </si>
  <si>
    <t>Less: one-off demerger gain in other income</t>
  </si>
  <si>
    <t>Normalized PBT (FY26A)</t>
  </si>
  <si>
    <t>Less: tax as reported (one-off gain is non-taxable)</t>
  </si>
  <si>
    <t>Normalized PAT (FY26A)</t>
  </si>
  <si>
    <t>The FY27E PAT rebuild starts from this cyberattack-depressed normalized base — not an operational collapse from reported ₹82,645 Cr (red-flags review #4).</t>
  </si>
  <si>
    <t>Global luxury OEM peers (JLR mix reference):</t>
  </si>
  <si>
    <t>BMW Group</t>
  </si>
  <si>
    <t>Mercedes-Benz Group</t>
  </si>
  <si>
    <t>Source: stockanalysis.com, 20-Aug-2026</t>
  </si>
  <si>
    <t>Terminal value as % of enterprise value</t>
  </si>
  <si>
    <t>~80% of EV sits in the terminal value — read the DCF with the sensitivity grid and scenarios, not as a point estimate</t>
  </si>
  <si>
    <t>Mid-year convention: explicit FCFF at t = 0.5 … 4.5. The Gordon terminal value prices a perpetuity whose flows also arrive mid-year (first flow ≈ t=5.5), i.e. one period before the first terminal flow → discounted at t = 4.5. Internally consistent; the year-end alternative (t = 5.0) would value ≈4% lower.</t>
  </si>
  <si>
    <t>FAIR VALUE RANGE (Bear–Bull DCF, ₹/share)</t>
  </si>
  <si>
    <t>presented as a range — DCF precision is assumption-bounded (red-flags review #12)</t>
  </si>
  <si>
    <t>+ New borrowings (auto-revolver, discretionary)</t>
  </si>
  <si>
    <t>− Repayment (discretionary cash sweep)</t>
  </si>
  <si>
    <t>No contractual amortization/maturity ladder is modeled — TMPV's post-demerger maturity schedule is not disclosed in the data source; all repayment is the discretionary sweep (red-flags review #10).</t>
  </si>
  <si>
    <t>Interest is charged on OPENING borrowings to avoid circularity. In a deleveraging forecast this slightly overstates interest — a conservative simplification (red-flags review #5).</t>
  </si>
  <si>
    <t>MODEL CHECKS</t>
  </si>
  <si>
    <t>All controls must show PASS. Values are the maximum absolute difference across FY27E–FY31E (₹ Cr).</t>
  </si>
  <si>
    <t>CONTROL</t>
  </si>
  <si>
    <t>MAX |DIFF|</t>
  </si>
  <si>
    <t>STATUS</t>
  </si>
  <si>
    <t>WHAT IT PROVES</t>
  </si>
  <si>
    <t>Balance sheet ties (assets − equity &amp; liabilities)</t>
  </si>
  <si>
    <t>Core integrity check — cash is the CF plug, so this must be 0 by construction.</t>
  </si>
  <si>
    <t>Cash flow ↔ balance sheet cash reconciliation</t>
  </si>
  <si>
    <t>BS cash equals CF closing cash every year.</t>
  </si>
  <si>
    <t>Retained earnings roll-forward</t>
  </si>
  <si>
    <t>Reserves = prior reserves + PAT − dividends.</t>
  </si>
  <si>
    <t>Debt roll-forward (BS vs Debt Schedule)</t>
  </si>
  <si>
    <t>BS borrowings equal the Debt Schedule closing balance.</t>
  </si>
  <si>
    <t>PP&amp;E roll-forward (BS vs Dep &amp; Capex Schedule)</t>
  </si>
  <si>
    <t>BS net fixed assets equal the schedule closing balance.</t>
  </si>
  <si>
    <t>Working capital link (BS receivables vs WC Schedule)</t>
  </si>
  <si>
    <t>BS receivables equal the WC Schedule balance.</t>
  </si>
  <si>
    <t>Valuation output is numeric</t>
  </si>
  <si>
    <t>Guards against formula errors propagating into the DCF.</t>
  </si>
  <si>
    <t>Checks</t>
  </si>
  <si>
    <t>Model controls: balance, cash, roll-forwards — all must show PASS</t>
  </si>
  <si>
    <t>CHARTS &amp; TREND ANALYSIS</t>
  </si>
  <si>
    <t>All series are formula-linked to the model sheets. FY26A PAT shown on a normalized basis (excl. one-off demerger gain).</t>
  </si>
  <si>
    <t>CHART DATA (linked to model — do not type over)</t>
  </si>
  <si>
    <t>Revenue (₹ Cr)</t>
  </si>
  <si>
    <t>PAT (₹ Cr, FY26A normalized)</t>
  </si>
  <si>
    <t>FCFF (₹ Cr)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</si>
</sst>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 * #,##0.00_ ;_ * \-#,##0.00_ ;_ * &quot;-&quot;??_ ;_ @_ "/>
    <numFmt numFmtId="164" formatCode="0.0%"/>
    <numFmt numFmtId="165" formatCode="0.0"/>
    <numFmt numFmtId="166" formatCode="_(&quot;$&quot;* #,##0.00_);_(&quot;$&quot;* \(#,##0.00\);_(&quot;$&quot;* &quot;-&quot;??_);_(@_)"/>
    <numFmt numFmtId="167" formatCode="#,##0.0;\(#,##0.0\);\-"/>
    <numFmt numFmtId="168" formatCode="#,##0.0;\(#,##0.0\);&quot;-&quot;"/>
    <numFmt numFmtId="169" formatCode="#,##0.0"/>
    <numFmt numFmtId="170" formatCode="0.000"/>
  </numFmts>
  <fonts count="46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  <font>
      <b/>
      <sz val="11"/>
      <color rgb="FF0BA1A1"/>
      <name val="Arial"/>
      <family val="2"/>
    </font>
    <font>
      <b/>
      <sz val="11"/>
      <color rgb="FF0000FF"/>
      <name val="Arial"/>
      <family val="2"/>
    </font>
    <font>
      <b/>
      <sz val="11"/>
      <color rgb="FF000000"/>
      <name val="Arial"/>
      <family val="2"/>
    </font>
    <font>
      <sz val="11"/>
      <color rgb="FF0000FF"/>
      <name val="Arial"/>
      <family val="2"/>
    </font>
    <font>
      <b/>
      <sz val="11"/>
      <name val="Arial"/>
      <family val="2"/>
    </font>
    <font>
      <sz val="11"/>
      <color rgb="FF008000"/>
      <name val="Arial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rgb="FF0070C0"/>
      <name val="Calibri"/>
      <family val="2"/>
      <scheme val="minor"/>
    </font>
    <font>
      <sz val="9"/>
      <name val="Geneva"/>
    </font>
    <font>
      <sz val="11"/>
      <color theme="1" tint="0.499984740745262"/>
      <name val="Calibri"/>
      <family val="2"/>
      <scheme val="minor"/>
    </font>
    <font>
      <sz val="11"/>
      <color theme="0"/>
      <name val="Arial"/>
      <family val="2"/>
    </font>
    <font>
      <b/>
      <sz val="11"/>
      <color theme="0"/>
      <name val="Arial"/>
      <family val="2"/>
    </font>
    <font>
      <sz val="7"/>
      <color indexed="10"/>
      <name val="Arial"/>
      <family val="2"/>
    </font>
    <font>
      <b/>
      <sz val="11"/>
      <color rgb="FF008000"/>
      <name val="Arial"/>
      <family val="2"/>
    </font>
    <font>
      <b/>
      <sz val="11"/>
      <color rgb="FF7030A0"/>
      <name val="Arial"/>
      <family val="2"/>
    </font>
    <font>
      <b/>
      <i/>
      <sz val="11"/>
      <color theme="1"/>
      <name val="Arial"/>
      <family val="2"/>
    </font>
    <font>
      <i/>
      <sz val="11"/>
      <color rgb="FF000000"/>
      <name val="Arial"/>
      <family val="2"/>
    </font>
    <font>
      <i/>
      <sz val="9"/>
      <color rgb="FF666666"/>
      <name val="Arial"/>
      <family val="2"/>
    </font>
    <font>
      <sz val="11"/>
      <color rgb="FF666666"/>
      <name val="Arial"/>
      <family val="2"/>
    </font>
    <font>
      <sz val="9"/>
      <color rgb="FF666666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0000FF"/>
      <name val="Arial"/>
      <family val="2"/>
    </font>
    <font>
      <sz val="10"/>
      <color rgb="FF008000"/>
      <name val="Arial"/>
      <family val="2"/>
    </font>
    <font>
      <sz val="11"/>
      <color rgb="FFFFFFFF"/>
      <name val="Arial"/>
      <family val="2"/>
    </font>
    <font>
      <b/>
      <sz val="12"/>
      <color rgb="FFFFFFFF"/>
      <name val="Arial"/>
      <family val="2"/>
    </font>
    <font>
      <sz val="11"/>
      <color rgb="FFFFFFFF"/>
      <name val="Calibri"/>
      <family val="2"/>
      <scheme val="minor"/>
    </font>
    <font>
      <i/>
      <sz val="9"/>
      <color rgb="FFFFFFFF"/>
      <name val="Arial"/>
      <family val="2"/>
    </font>
    <font>
      <sz val="9"/>
      <color theme="1"/>
      <name val="Arial"/>
      <family val="2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0"/>
      <color theme="10"/>
      <name val="Arial"/>
      <family val="2"/>
    </font>
    <font>
      <b/>
      <sz val="20"/>
      <color theme="0"/>
      <name val="Arial"/>
      <family val="2"/>
    </font>
    <font>
      <i/>
      <sz val="12"/>
      <color theme="0"/>
      <name val="Arial"/>
      <family val="2"/>
    </font>
    <font>
      <b/>
      <sz val="11"/>
      <color theme="2"/>
      <name val="Arial"/>
      <family val="2"/>
    </font>
    <font>
      <i/>
      <sz val="10"/>
      <color rgb="FF666666"/>
      <name val="Arial"/>
      <family val="2"/>
    </font>
    <font>
      <b/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i/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rgb="FFE8F3F3"/>
        <bgColor indexed="64"/>
      </patternFill>
    </fill>
    <fill>
      <patternFill patternType="solid">
        <fgColor rgb="FF60497A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1F8B8B"/>
        <bgColor indexed="64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/>
      <bottom style="thin">
        <color rgb="FFBFBFBF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 style="dashed">
        <color theme="0" tint="-0.24994659260841701"/>
      </left>
      <right style="dashed">
        <color theme="0" tint="-0.24994659260841701"/>
      </right>
      <top style="dashed">
        <color theme="0" tint="-0.24994659260841701"/>
      </top>
      <bottom style="dashed">
        <color theme="0" tint="-0.24994659260841701"/>
      </bottom>
      <diagonal/>
    </border>
    <border>
      <left style="thin">
        <color indexed="64"/>
      </left>
      <right style="thin">
        <color indexed="64"/>
      </right>
      <top style="thin">
        <color rgb="FFBFBFBF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1">
    <xf numFmtId="0" fontId="0" fillId="0" borderId="0"/>
    <xf numFmtId="0" fontId="2" fillId="0" borderId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15" fillId="0" borderId="0"/>
    <xf numFmtId="166" fontId="15" fillId="0" borderId="0" applyFont="0" applyFill="0" applyBorder="0" applyAlignment="0" applyProtection="0"/>
    <xf numFmtId="9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167" fontId="16" fillId="0" borderId="6">
      <alignment vertical="center"/>
    </xf>
    <xf numFmtId="167" fontId="12" fillId="2" borderId="7"/>
    <xf numFmtId="167" fontId="14" fillId="3" borderId="7"/>
    <xf numFmtId="164" fontId="14" fillId="3" borderId="7"/>
    <xf numFmtId="43" fontId="12" fillId="0" borderId="0" applyFont="0" applyFill="0" applyBorder="0" applyAlignment="0" applyProtection="0"/>
    <xf numFmtId="164" fontId="2" fillId="0" borderId="0" applyFont="0" applyFill="0" applyBorder="0" applyAlignment="0" applyProtection="0"/>
    <xf numFmtId="0" fontId="2" fillId="0" borderId="0"/>
    <xf numFmtId="9" fontId="2" fillId="0" borderId="0" applyFont="0" applyFill="0" applyBorder="0" applyAlignment="0" applyProtection="0"/>
    <xf numFmtId="0" fontId="12" fillId="0" borderId="0"/>
    <xf numFmtId="0" fontId="19" fillId="0" borderId="0"/>
    <xf numFmtId="0" fontId="37" fillId="0" borderId="0" applyNumberFormat="0" applyFill="0" applyBorder="0" applyAlignment="0" applyProtection="0"/>
  </cellStyleXfs>
  <cellXfs count="114">
    <xf numFmtId="0" fontId="0" fillId="0" borderId="0" xfId="0"/>
    <xf numFmtId="0" fontId="1" fillId="0" borderId="0" xfId="0" applyFont="1"/>
    <xf numFmtId="0" fontId="4" fillId="0" borderId="0" xfId="0" applyFont="1"/>
    <xf numFmtId="164" fontId="5" fillId="0" borderId="1" xfId="0" applyNumberFormat="1" applyFont="1" applyBorder="1"/>
    <xf numFmtId="165" fontId="5" fillId="0" borderId="1" xfId="0" applyNumberFormat="1" applyFont="1" applyBorder="1"/>
    <xf numFmtId="2" fontId="5" fillId="0" borderId="1" xfId="0" applyNumberFormat="1" applyFont="1" applyBorder="1"/>
    <xf numFmtId="1" fontId="5" fillId="0" borderId="1" xfId="0" applyNumberFormat="1" applyFont="1" applyBorder="1"/>
    <xf numFmtId="3" fontId="1" fillId="0" borderId="0" xfId="0" applyNumberFormat="1" applyFont="1"/>
    <xf numFmtId="164" fontId="1" fillId="0" borderId="0" xfId="0" applyNumberFormat="1" applyFont="1"/>
    <xf numFmtId="0" fontId="6" fillId="0" borderId="3" xfId="0" applyFont="1" applyBorder="1" applyAlignment="1">
      <alignment horizontal="center"/>
    </xf>
    <xf numFmtId="3" fontId="1" fillId="0" borderId="4" xfId="0" applyNumberFormat="1" applyFont="1" applyBorder="1"/>
    <xf numFmtId="164" fontId="7" fillId="0" borderId="0" xfId="0" applyNumberFormat="1" applyFont="1"/>
    <xf numFmtId="9" fontId="7" fillId="0" borderId="0" xfId="0" applyNumberFormat="1" applyFont="1"/>
    <xf numFmtId="2" fontId="7" fillId="0" borderId="0" xfId="0" applyNumberFormat="1" applyFont="1"/>
    <xf numFmtId="3" fontId="1" fillId="0" borderId="5" xfId="0" applyNumberFormat="1" applyFont="1" applyBorder="1"/>
    <xf numFmtId="1" fontId="7" fillId="0" borderId="0" xfId="0" applyNumberFormat="1" applyFont="1"/>
    <xf numFmtId="0" fontId="8" fillId="0" borderId="0" xfId="0" applyFont="1"/>
    <xf numFmtId="164" fontId="10" fillId="0" borderId="0" xfId="0" applyNumberFormat="1" applyFont="1"/>
    <xf numFmtId="2" fontId="9" fillId="0" borderId="0" xfId="0" applyNumberFormat="1" applyFont="1"/>
    <xf numFmtId="164" fontId="9" fillId="0" borderId="0" xfId="0" applyNumberFormat="1" applyFont="1"/>
    <xf numFmtId="164" fontId="6" fillId="0" borderId="0" xfId="0" applyNumberFormat="1" applyFont="1"/>
    <xf numFmtId="0" fontId="1" fillId="0" borderId="4" xfId="0" applyFont="1" applyBorder="1"/>
    <xf numFmtId="2" fontId="10" fillId="0" borderId="0" xfId="0" applyNumberFormat="1" applyFont="1"/>
    <xf numFmtId="0" fontId="1" fillId="0" borderId="5" xfId="0" applyFont="1" applyBorder="1"/>
    <xf numFmtId="165" fontId="9" fillId="0" borderId="0" xfId="0" applyNumberFormat="1" applyFont="1"/>
    <xf numFmtId="164" fontId="1" fillId="0" borderId="0" xfId="0" applyNumberFormat="1" applyFont="1" applyAlignment="1">
      <alignment horizontal="right"/>
    </xf>
    <xf numFmtId="0" fontId="1" fillId="0" borderId="0" xfId="0" applyFont="1" applyAlignment="1">
      <alignment horizontal="right"/>
    </xf>
    <xf numFmtId="1" fontId="9" fillId="0" borderId="0" xfId="0" applyNumberFormat="1" applyFont="1"/>
    <xf numFmtId="0" fontId="11" fillId="0" borderId="0" xfId="0" applyFont="1"/>
    <xf numFmtId="0" fontId="9" fillId="0" borderId="0" xfId="0" applyFont="1"/>
    <xf numFmtId="0" fontId="1" fillId="4" borderId="0" xfId="0" applyFont="1" applyFill="1"/>
    <xf numFmtId="0" fontId="18" fillId="5" borderId="0" xfId="0" applyFont="1" applyFill="1"/>
    <xf numFmtId="0" fontId="17" fillId="5" borderId="0" xfId="0" applyFont="1" applyFill="1"/>
    <xf numFmtId="0" fontId="18" fillId="5" borderId="3" xfId="0" applyFont="1" applyFill="1" applyBorder="1" applyAlignment="1">
      <alignment horizontal="center"/>
    </xf>
    <xf numFmtId="0" fontId="3" fillId="4" borderId="0" xfId="0" applyFont="1" applyFill="1" applyAlignment="1">
      <alignment horizontal="center"/>
    </xf>
    <xf numFmtId="0" fontId="8" fillId="4" borderId="0" xfId="0" applyFont="1" applyFill="1"/>
    <xf numFmtId="1" fontId="10" fillId="0" borderId="0" xfId="0" applyNumberFormat="1" applyFont="1"/>
    <xf numFmtId="0" fontId="18" fillId="5" borderId="2" xfId="0" applyFont="1" applyFill="1" applyBorder="1" applyAlignment="1">
      <alignment horizontal="center"/>
    </xf>
    <xf numFmtId="49" fontId="21" fillId="0" borderId="1" xfId="0" applyNumberFormat="1" applyFont="1" applyBorder="1"/>
    <xf numFmtId="0" fontId="22" fillId="0" borderId="0" xfId="0" applyFont="1"/>
    <xf numFmtId="164" fontId="5" fillId="0" borderId="8" xfId="0" applyNumberFormat="1" applyFont="1" applyBorder="1"/>
    <xf numFmtId="9" fontId="7" fillId="0" borderId="3" xfId="0" applyNumberFormat="1" applyFont="1" applyBorder="1"/>
    <xf numFmtId="0" fontId="17" fillId="4" borderId="0" xfId="0" applyFont="1" applyFill="1"/>
    <xf numFmtId="0" fontId="18" fillId="4" borderId="0" xfId="0" applyFont="1" applyFill="1" applyAlignment="1">
      <alignment horizontal="center"/>
    </xf>
    <xf numFmtId="0" fontId="24" fillId="0" borderId="0" xfId="0" applyFont="1"/>
    <xf numFmtId="0" fontId="6" fillId="6" borderId="3" xfId="0" applyFont="1" applyFill="1" applyBorder="1" applyAlignment="1">
      <alignment horizontal="center"/>
    </xf>
    <xf numFmtId="168" fontId="7" fillId="0" borderId="0" xfId="0" applyNumberFormat="1" applyFont="1"/>
    <xf numFmtId="168" fontId="7" fillId="0" borderId="4" xfId="0" applyNumberFormat="1" applyFont="1" applyBorder="1"/>
    <xf numFmtId="168" fontId="1" fillId="0" borderId="0" xfId="0" applyNumberFormat="1" applyFont="1"/>
    <xf numFmtId="168" fontId="7" fillId="0" borderId="5" xfId="0" applyNumberFormat="1" applyFont="1" applyBorder="1"/>
    <xf numFmtId="168" fontId="9" fillId="0" borderId="0" xfId="0" applyNumberFormat="1" applyFont="1"/>
    <xf numFmtId="168" fontId="5" fillId="0" borderId="1" xfId="0" applyNumberFormat="1" applyFont="1" applyBorder="1"/>
    <xf numFmtId="168" fontId="5" fillId="0" borderId="0" xfId="0" applyNumberFormat="1" applyFont="1"/>
    <xf numFmtId="168" fontId="5" fillId="0" borderId="9" xfId="0" applyNumberFormat="1" applyFont="1" applyBorder="1"/>
    <xf numFmtId="0" fontId="11" fillId="6" borderId="3" xfId="0" applyFont="1" applyFill="1" applyBorder="1" applyAlignment="1">
      <alignment horizontal="center"/>
    </xf>
    <xf numFmtId="168" fontId="10" fillId="0" borderId="0" xfId="0" applyNumberFormat="1" applyFont="1"/>
    <xf numFmtId="168" fontId="6" fillId="0" borderId="5" xfId="0" applyNumberFormat="1" applyFont="1" applyBorder="1"/>
    <xf numFmtId="168" fontId="25" fillId="0" borderId="0" xfId="0" applyNumberFormat="1" applyFont="1" applyAlignment="1">
      <alignment horizontal="right"/>
    </xf>
    <xf numFmtId="164" fontId="25" fillId="0" borderId="0" xfId="0" applyNumberFormat="1" applyFont="1" applyAlignment="1">
      <alignment horizontal="right"/>
    </xf>
    <xf numFmtId="168" fontId="20" fillId="0" borderId="5" xfId="0" applyNumberFormat="1" applyFont="1" applyBorder="1"/>
    <xf numFmtId="0" fontId="11" fillId="6" borderId="0" xfId="0" applyFont="1" applyFill="1"/>
    <xf numFmtId="168" fontId="9" fillId="0" borderId="4" xfId="0" applyNumberFormat="1" applyFont="1" applyBorder="1"/>
    <xf numFmtId="168" fontId="10" fillId="0" borderId="4" xfId="0" applyNumberFormat="1" applyFont="1" applyBorder="1"/>
    <xf numFmtId="168" fontId="6" fillId="0" borderId="4" xfId="0" applyNumberFormat="1" applyFont="1" applyBorder="1"/>
    <xf numFmtId="168" fontId="10" fillId="0" borderId="5" xfId="0" applyNumberFormat="1" applyFont="1" applyBorder="1"/>
    <xf numFmtId="168" fontId="23" fillId="0" borderId="0" xfId="0" applyNumberFormat="1" applyFont="1"/>
    <xf numFmtId="168" fontId="10" fillId="0" borderId="1" xfId="0" applyNumberFormat="1" applyFont="1" applyBorder="1"/>
    <xf numFmtId="0" fontId="27" fillId="0" borderId="0" xfId="0" applyFont="1"/>
    <xf numFmtId="0" fontId="28" fillId="0" borderId="0" xfId="0" applyFont="1"/>
    <xf numFmtId="0" fontId="29" fillId="0" borderId="0" xfId="0" applyFont="1"/>
    <xf numFmtId="0" fontId="30" fillId="0" borderId="0" xfId="0" applyFont="1"/>
    <xf numFmtId="165" fontId="1" fillId="0" borderId="0" xfId="0" applyNumberFormat="1" applyFont="1"/>
    <xf numFmtId="165" fontId="7" fillId="0" borderId="0" xfId="0" applyNumberFormat="1" applyFont="1"/>
    <xf numFmtId="169" fontId="1" fillId="0" borderId="0" xfId="0" applyNumberFormat="1" applyFont="1"/>
    <xf numFmtId="169" fontId="11" fillId="0" borderId="0" xfId="0" applyNumberFormat="1" applyFont="1"/>
    <xf numFmtId="169" fontId="9" fillId="0" borderId="0" xfId="0" applyNumberFormat="1" applyFont="1"/>
    <xf numFmtId="0" fontId="31" fillId="7" borderId="0" xfId="0" applyFont="1" applyFill="1"/>
    <xf numFmtId="0" fontId="32" fillId="7" borderId="0" xfId="0" applyFont="1" applyFill="1"/>
    <xf numFmtId="0" fontId="17" fillId="0" borderId="0" xfId="0" applyFont="1"/>
    <xf numFmtId="0" fontId="33" fillId="7" borderId="0" xfId="0" applyFont="1" applyFill="1"/>
    <xf numFmtId="0" fontId="34" fillId="7" borderId="0" xfId="0" applyFont="1" applyFill="1"/>
    <xf numFmtId="0" fontId="3" fillId="7" borderId="0" xfId="0" applyFont="1" applyFill="1"/>
    <xf numFmtId="0" fontId="35" fillId="0" borderId="0" xfId="0" applyFont="1"/>
    <xf numFmtId="169" fontId="35" fillId="0" borderId="0" xfId="0" applyNumberFormat="1" applyFont="1"/>
    <xf numFmtId="49" fontId="27" fillId="0" borderId="0" xfId="0" applyNumberFormat="1" applyFont="1"/>
    <xf numFmtId="0" fontId="38" fillId="0" borderId="0" xfId="20" applyFont="1"/>
    <xf numFmtId="168" fontId="7" fillId="0" borderId="3" xfId="0" applyNumberFormat="1" applyFont="1" applyBorder="1"/>
    <xf numFmtId="0" fontId="31" fillId="7" borderId="0" xfId="0" applyFont="1" applyFill="1" applyAlignment="1">
      <alignment wrapText="1"/>
    </xf>
    <xf numFmtId="0" fontId="17" fillId="0" borderId="0" xfId="0" applyFont="1" applyAlignment="1">
      <alignment wrapText="1"/>
    </xf>
    <xf numFmtId="0" fontId="18" fillId="5" borderId="3" xfId="0" applyFont="1" applyFill="1" applyBorder="1" applyAlignment="1">
      <alignment horizontal="center" wrapText="1"/>
    </xf>
    <xf numFmtId="0" fontId="18" fillId="4" borderId="0" xfId="0" applyFont="1" applyFill="1" applyAlignment="1">
      <alignment horizontal="center" wrapText="1"/>
    </xf>
    <xf numFmtId="0" fontId="1" fillId="0" borderId="0" xfId="0" applyFont="1" applyAlignment="1">
      <alignment wrapText="1"/>
    </xf>
    <xf numFmtId="0" fontId="26" fillId="0" borderId="0" xfId="0" applyFont="1" applyAlignment="1">
      <alignment wrapText="1"/>
    </xf>
    <xf numFmtId="0" fontId="31" fillId="4" borderId="0" xfId="0" applyFont="1" applyFill="1"/>
    <xf numFmtId="0" fontId="1" fillId="4" borderId="0" xfId="0" applyFont="1" applyFill="1" applyAlignment="1">
      <alignment wrapText="1"/>
    </xf>
    <xf numFmtId="0" fontId="24" fillId="0" borderId="0" xfId="0" applyFont="1" applyAlignment="1">
      <alignment wrapText="1"/>
    </xf>
    <xf numFmtId="0" fontId="36" fillId="8" borderId="0" xfId="0" applyFont="1" applyFill="1"/>
    <xf numFmtId="0" fontId="39" fillId="8" borderId="0" xfId="0" applyFont="1" applyFill="1"/>
    <xf numFmtId="0" fontId="40" fillId="8" borderId="0" xfId="0" applyFont="1" applyFill="1"/>
    <xf numFmtId="0" fontId="41" fillId="9" borderId="0" xfId="0" applyFont="1" applyFill="1"/>
    <xf numFmtId="165" fontId="10" fillId="0" borderId="0" xfId="0" applyNumberFormat="1" applyFont="1"/>
    <xf numFmtId="165" fontId="7" fillId="0" borderId="1" xfId="0" applyNumberFormat="1" applyFont="1" applyBorder="1"/>
    <xf numFmtId="10" fontId="1" fillId="0" borderId="0" xfId="0" applyNumberFormat="1" applyFont="1"/>
    <xf numFmtId="168" fontId="11" fillId="0" borderId="0" xfId="0" applyNumberFormat="1" applyFont="1"/>
    <xf numFmtId="0" fontId="42" fillId="0" borderId="0" xfId="0" applyFont="1"/>
    <xf numFmtId="0" fontId="0" fillId="7" borderId="0" xfId="0" applyFill="1"/>
    <xf numFmtId="170" fontId="1" fillId="0" borderId="0" xfId="0" applyNumberFormat="1" applyFont="1"/>
    <xf numFmtId="0" fontId="20" fillId="0" borderId="0" xfId="0" applyFont="1"/>
    <xf numFmtId="0" fontId="44" fillId="10" borderId="0" xfId="0" applyFont="1" applyFill="1"/>
    <xf numFmtId="0" fontId="33" fillId="10" borderId="0" xfId="0" applyFont="1" applyFill="1"/>
    <xf numFmtId="0" fontId="45" fillId="0" borderId="0" xfId="0" applyFont="1"/>
    <xf numFmtId="0" fontId="43" fillId="0" borderId="0" xfId="0" applyFont="1"/>
    <xf numFmtId="3" fontId="0" fillId="0" borderId="0" xfId="0" applyNumberFormat="1"/>
    <xf numFmtId="164" fontId="0" fillId="0" borderId="0" xfId="0" applyNumberFormat="1"/>
  </cellXfs>
  <cellStyles count="21">
    <cellStyle name="Assume #" xfId="12" xr:uid="{A302D111-5E7A-49E9-AC89-2B2E6349878A}"/>
    <cellStyle name="Assume %" xfId="13" xr:uid="{7ADC9179-ABC9-4189-A4D3-08D72C1715C5}"/>
    <cellStyle name="Comma 2" xfId="3" xr:uid="{4FC87D24-1560-4116-BC8F-906A56D3318D}"/>
    <cellStyle name="Comma 2 2" xfId="15" xr:uid="{B018FFE9-E08A-4190-BBF4-0AE9782D90B2}"/>
    <cellStyle name="Comma 3" xfId="4" xr:uid="{10D119FC-5A82-43CD-8A93-8391A486E726}"/>
    <cellStyle name="Comma 4" xfId="9" xr:uid="{904088CE-B613-4BC6-804D-71A9C3901894}"/>
    <cellStyle name="Comma 5" xfId="14" xr:uid="{94941EDF-45CA-474E-B4BD-EBCA55CEC913}"/>
    <cellStyle name="Currency 2" xfId="2" xr:uid="{C1B928F0-924C-4170-81DF-08E613832815}"/>
    <cellStyle name="Currency 3" xfId="7" xr:uid="{126FB165-5BDC-4A3E-9CF9-C4268ADFCF74}"/>
    <cellStyle name="Estimates" xfId="11" xr:uid="{E1CFC942-EA14-458B-A96D-EB5B3386984D}"/>
    <cellStyle name="GivenData" xfId="10" xr:uid="{8AC99FB0-D56F-4D58-80F0-8BA415419CB5}"/>
    <cellStyle name="Hyperlink" xfId="20" builtinId="8"/>
    <cellStyle name="Normal" xfId="0" builtinId="0"/>
    <cellStyle name="Normal 2" xfId="1" xr:uid="{B31BA63E-5EF6-4474-9D4A-2B7EF742D1AE}"/>
    <cellStyle name="Normal 2 2" xfId="16" xr:uid="{4A9F8B5E-337E-4546-85C0-6C602EF2CEDF}"/>
    <cellStyle name="Normal 2 2 2" xfId="18" xr:uid="{A78E1FF8-8A5A-48B5-B00B-7BD77BB48835}"/>
    <cellStyle name="Normal 3" xfId="6" xr:uid="{718C4B70-F071-427C-9D2B-1F58794EE224}"/>
    <cellStyle name="Percent 2" xfId="5" xr:uid="{2B504E46-9A84-454C-883A-6E151784DAB4}"/>
    <cellStyle name="Percent 2 2" xfId="17" xr:uid="{87B37693-B04A-467B-8F95-39907DC00BAB}"/>
    <cellStyle name="Percent 3" xfId="8" xr:uid="{12D3D38D-2E52-4692-95C8-CCEEE0D24A05}"/>
    <cellStyle name="TTS" xfId="19" xr:uid="{75B16E14-4300-4E54-B7AF-F11ACA82DD6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TMPV Revenue: FY26A → FY31E (₹ Cr)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v>TMPV (PV + JLR)</c:v>
          </c:tx>
          <c:spPr>
            <a:solidFill>
              <a:srgbClr val="2A78D6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val>
            <c:numRef>
              <c:f>'Income Statement'!$C$4:$H$4</c:f>
              <c:numCache>
                <c:formatCode>#,##0.0;\(#,##0.0\);"-"</c:formatCode>
                <c:ptCount val="6"/>
                <c:pt idx="0">
                  <c:v>335582</c:v>
                </c:pt>
                <c:pt idx="1">
                  <c:v>375851.84</c:v>
                </c:pt>
                <c:pt idx="2">
                  <c:v>402161.46880000003</c:v>
                </c:pt>
                <c:pt idx="3">
                  <c:v>426291.15692800004</c:v>
                </c:pt>
                <c:pt idx="4">
                  <c:v>447605.71477440005</c:v>
                </c:pt>
                <c:pt idx="5">
                  <c:v>469986.00051312009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AB7-4AC5-911C-B9B79D1B3410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#,##0.0;\(#,##0.0\);&quot;-&quot;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US"/>
              <a:t>TMPV: intrinsic value vs market price (₹/share)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spPr>
            <a:solidFill>
              <a:srgbClr val="2A78D6"/>
            </a:solidFill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Recommendation!$H$50:$H$51</c:f>
              <c:strCache>
                <c:ptCount val="2"/>
                <c:pt idx="0">
                  <c:v>Market price (₹)</c:v>
                </c:pt>
                <c:pt idx="1">
                  <c:v>Intrinsic value, DCF (₹)</c:v>
                </c:pt>
              </c:strCache>
            </c:strRef>
          </c:cat>
          <c:val>
            <c:numRef>
              <c:f>Recommendation!$I$50:$I$51</c:f>
              <c:numCache>
                <c:formatCode>#,##0.0</c:formatCode>
                <c:ptCount val="2"/>
                <c:pt idx="0">
                  <c:v>331</c:v>
                </c:pt>
                <c:pt idx="1">
                  <c:v>468.21210067812888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655-4ACD-834A-9039A8863F8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6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numFmt formatCode="#,##0.0" sourceLinked="1"/>
        <c:majorTickMark val="out"/>
        <c:minorTickMark val="none"/>
        <c:tickLblPos val="nextTo"/>
        <c:crossAx val="10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1"/>
  </c:chart>
  <c:txPr>
    <a:bodyPr/>
    <a:lstStyle/>
    <a:p>
      <a:pPr>
        <a:defRPr lang="en-US" sz="10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/>
            </a:pPr>
            <a:r>
              <a:rPr lang="en-IN"/>
              <a:t>Revenue trend — FY23 to FY31E (₹ Cr)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'Charts &amp; Trends'!$B$43</c:f>
              <c:strCache>
                <c:ptCount val="1"/>
                <c:pt idx="0">
                  <c:v>Revenue (₹ Cr)</c:v>
                </c:pt>
              </c:strCache>
            </c:strRef>
          </c:tx>
          <c:invertIfNegative val="0"/>
          <c:cat>
            <c:strRef>
              <c:f>'Charts &amp; Trends'!$C$42:$K$42</c:f>
              <c:strCache>
                <c:ptCount val="9"/>
                <c:pt idx="0">
                  <c:v>FY23</c:v>
                </c:pt>
                <c:pt idx="1">
                  <c:v>FY24</c:v>
                </c:pt>
                <c:pt idx="2">
                  <c:v>FY25</c:v>
                </c:pt>
                <c:pt idx="3">
                  <c:v>FY26A</c:v>
                </c:pt>
                <c:pt idx="4">
                  <c:v>FY27E</c:v>
                </c:pt>
                <c:pt idx="5">
                  <c:v>FY28E</c:v>
                </c:pt>
                <c:pt idx="6">
                  <c:v>FY29E</c:v>
                </c:pt>
                <c:pt idx="7">
                  <c:v>FY30E</c:v>
                </c:pt>
                <c:pt idx="8">
                  <c:v>FY31E</c:v>
                </c:pt>
              </c:strCache>
            </c:strRef>
          </c:cat>
          <c:val>
            <c:numRef>
              <c:f>'Charts &amp; Trends'!$C$43:$K$43</c:f>
              <c:numCache>
                <c:formatCode>#,##0</c:formatCode>
                <c:ptCount val="9"/>
                <c:pt idx="0">
                  <c:v>345967</c:v>
                </c:pt>
                <c:pt idx="1">
                  <c:v>434016</c:v>
                </c:pt>
                <c:pt idx="2">
                  <c:v>366094</c:v>
                </c:pt>
                <c:pt idx="3">
                  <c:v>335582</c:v>
                </c:pt>
                <c:pt idx="4">
                  <c:v>375851.84</c:v>
                </c:pt>
                <c:pt idx="5">
                  <c:v>402161.46880000003</c:v>
                </c:pt>
                <c:pt idx="6">
                  <c:v>426291.15692800004</c:v>
                </c:pt>
                <c:pt idx="7">
                  <c:v>447605.71477440005</c:v>
                </c:pt>
                <c:pt idx="8">
                  <c:v>469986.00051312009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13-4A45-9A3F-6F89D325E6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07146320"/>
        <c:axId val="224300911"/>
      </c:barChart>
      <c:catAx>
        <c:axId val="210714632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224300911"/>
        <c:crosses val="autoZero"/>
        <c:auto val="1"/>
        <c:lblAlgn val="ctr"/>
        <c:lblOffset val="100"/>
        <c:noMultiLvlLbl val="0"/>
      </c:catAx>
      <c:valAx>
        <c:axId val="224300911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2107146320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/>
            </a:pPr>
            <a:r>
              <a:rPr lang="en-IN"/>
              <a:t>EBITDA margin % — history vs forecast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'Charts &amp; Trends'!$B$46</c:f>
              <c:strCache>
                <c:ptCount val="1"/>
                <c:pt idx="0">
                  <c:v>EBITDA margin %</c:v>
                </c:pt>
              </c:strCache>
            </c:strRef>
          </c:tx>
          <c:marker>
            <c:symbol val="none"/>
          </c:marker>
          <c:cat>
            <c:strRef>
              <c:f>'Charts &amp; Trends'!$C$45:$K$45</c:f>
              <c:strCache>
                <c:ptCount val="9"/>
                <c:pt idx="0">
                  <c:v>FY23</c:v>
                </c:pt>
                <c:pt idx="1">
                  <c:v>FY24</c:v>
                </c:pt>
                <c:pt idx="2">
                  <c:v>FY25</c:v>
                </c:pt>
                <c:pt idx="3">
                  <c:v>FY26A</c:v>
                </c:pt>
                <c:pt idx="4">
                  <c:v>FY27E</c:v>
                </c:pt>
                <c:pt idx="5">
                  <c:v>FY28E</c:v>
                </c:pt>
                <c:pt idx="6">
                  <c:v>FY29E</c:v>
                </c:pt>
                <c:pt idx="7">
                  <c:v>FY30E</c:v>
                </c:pt>
                <c:pt idx="8">
                  <c:v>FY31E</c:v>
                </c:pt>
              </c:strCache>
            </c:strRef>
          </c:cat>
          <c:val>
            <c:numRef>
              <c:f>'Charts &amp; Trends'!$C$46:$K$46</c:f>
              <c:numCache>
                <c:formatCode>0.0%</c:formatCode>
                <c:ptCount val="9"/>
                <c:pt idx="0">
                  <c:v>9.1962528218009237E-2</c:v>
                </c:pt>
                <c:pt idx="1">
                  <c:v>0.13319555039445549</c:v>
                </c:pt>
                <c:pt idx="2">
                  <c:v>0.13109474615809055</c:v>
                </c:pt>
                <c:pt idx="3">
                  <c:v>5.5780703375032034E-2</c:v>
                </c:pt>
                <c:pt idx="4">
                  <c:v>9.5000000000000001E-2</c:v>
                </c:pt>
                <c:pt idx="5">
                  <c:v>0.105</c:v>
                </c:pt>
                <c:pt idx="6">
                  <c:v>0.11</c:v>
                </c:pt>
                <c:pt idx="7">
                  <c:v>0.115</c:v>
                </c:pt>
                <c:pt idx="8">
                  <c:v>0.12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E9E-4592-B8EA-134288ADEF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07150496"/>
        <c:axId val="1435609743"/>
      </c:lineChart>
      <c:catAx>
        <c:axId val="21071504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35609743"/>
        <c:crosses val="autoZero"/>
        <c:auto val="1"/>
        <c:lblAlgn val="ctr"/>
        <c:lblOffset val="100"/>
        <c:noMultiLvlLbl val="0"/>
      </c:catAx>
      <c:valAx>
        <c:axId val="1435609743"/>
        <c:scaling>
          <c:orientation val="minMax"/>
        </c:scaling>
        <c:delete val="0"/>
        <c:axPos val="l"/>
        <c:majorGridlines/>
        <c:numFmt formatCode="0%" sourceLinked="0"/>
        <c:majorTickMark val="out"/>
        <c:minorTickMark val="none"/>
        <c:tickLblPos val="nextTo"/>
        <c:crossAx val="2107150496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/>
            </a:pPr>
            <a:r>
              <a:rPr lang="en-IN"/>
              <a:t>PAT — FY26A (normalized) to FY31E (₹ Cr)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'Charts &amp; Trends'!$B$49</c:f>
              <c:strCache>
                <c:ptCount val="1"/>
                <c:pt idx="0">
                  <c:v>PAT (₹ Cr, FY26A normalized)</c:v>
                </c:pt>
              </c:strCache>
            </c:strRef>
          </c:tx>
          <c:invertIfNegative val="0"/>
          <c:cat>
            <c:strRef>
              <c:f>'Charts &amp; Trends'!$C$48:$H$48</c:f>
              <c:strCache>
                <c:ptCount val="6"/>
                <c:pt idx="0">
                  <c:v>FY26A</c:v>
                </c:pt>
                <c:pt idx="1">
                  <c:v>FY27E</c:v>
                </c:pt>
                <c:pt idx="2">
                  <c:v>FY28E</c:v>
                </c:pt>
                <c:pt idx="3">
                  <c:v>FY29E</c:v>
                </c:pt>
                <c:pt idx="4">
                  <c:v>FY30E</c:v>
                </c:pt>
                <c:pt idx="5">
                  <c:v>FY31E</c:v>
                </c:pt>
              </c:strCache>
            </c:strRef>
          </c:cat>
          <c:val>
            <c:numRef>
              <c:f>'Charts &amp; Trends'!$C$49:$H$49</c:f>
              <c:numCache>
                <c:formatCode>#,##0</c:formatCode>
                <c:ptCount val="6"/>
                <c:pt idx="0">
                  <c:v>-3646</c:v>
                </c:pt>
                <c:pt idx="1">
                  <c:v>8584.7811000000002</c:v>
                </c:pt>
                <c:pt idx="2">
                  <c:v>13005.849008592639</c:v>
                </c:pt>
                <c:pt idx="3">
                  <c:v>15756.773661831341</c:v>
                </c:pt>
                <c:pt idx="4">
                  <c:v>18943.359494436198</c:v>
                </c:pt>
                <c:pt idx="5">
                  <c:v>22645.878047035854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462-4245-B99B-B1E75C4AF93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107147248"/>
        <c:axId val="1435611183"/>
      </c:barChart>
      <c:catAx>
        <c:axId val="2107147248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35611183"/>
        <c:crosses val="autoZero"/>
        <c:auto val="1"/>
        <c:lblAlgn val="ctr"/>
        <c:lblOffset val="100"/>
        <c:noMultiLvlLbl val="0"/>
      </c:catAx>
      <c:valAx>
        <c:axId val="1435611183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2107147248"/>
        <c:crosses val="autoZero"/>
        <c:crossBetween val="between"/>
      </c:valAx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100" b="1"/>
            </a:pPr>
            <a:r>
              <a:rPr lang="en-IN"/>
              <a:t>FCFF &amp; Net debt — deleveraging path (₹ Cr)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'Charts &amp; Trends'!$B$52</c:f>
              <c:strCache>
                <c:ptCount val="1"/>
                <c:pt idx="0">
                  <c:v>FCFF (₹ Cr)</c:v>
                </c:pt>
              </c:strCache>
            </c:strRef>
          </c:tx>
          <c:invertIfNegative val="0"/>
          <c:cat>
            <c:strRef>
              <c:f>'Charts &amp; Trends'!$C$51:$H$51</c:f>
              <c:strCache>
                <c:ptCount val="6"/>
                <c:pt idx="0">
                  <c:v>FY26A</c:v>
                </c:pt>
                <c:pt idx="1">
                  <c:v>FY27E</c:v>
                </c:pt>
                <c:pt idx="2">
                  <c:v>FY28E</c:v>
                </c:pt>
                <c:pt idx="3">
                  <c:v>FY29E</c:v>
                </c:pt>
                <c:pt idx="4">
                  <c:v>FY30E</c:v>
                </c:pt>
                <c:pt idx="5">
                  <c:v>FY31E</c:v>
                </c:pt>
              </c:strCache>
            </c:strRef>
          </c:cat>
          <c:val>
            <c:numRef>
              <c:f>'Charts &amp; Trends'!$C$52:$H$52</c:f>
              <c:numCache>
                <c:formatCode>#,##0</c:formatCode>
                <c:ptCount val="6"/>
                <c:pt idx="1">
                  <c:v>3017.5047341369645</c:v>
                </c:pt>
                <c:pt idx="2">
                  <c:v>5450.8272873282622</c:v>
                </c:pt>
                <c:pt idx="3">
                  <c:v>11325.367612195383</c:v>
                </c:pt>
                <c:pt idx="4">
                  <c:v>14980.543200976063</c:v>
                </c:pt>
                <c:pt idx="5">
                  <c:v>17338.772406894568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AE-4FB9-80BE-CBF532D5F1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545970751"/>
        <c:axId val="1435614543"/>
      </c:barChart>
      <c:lineChart>
        <c:grouping val="standard"/>
        <c:varyColors val="0"/>
        <c:ser>
          <c:idx val="1"/>
          <c:order val="1"/>
          <c:tx>
            <c:strRef>
              <c:f>'Charts &amp; Trends'!$B$53</c:f>
              <c:strCache>
                <c:ptCount val="1"/>
                <c:pt idx="0">
                  <c:v>Net debt (₹ Cr)</c:v>
                </c:pt>
              </c:strCache>
            </c:strRef>
          </c:tx>
          <c:marker>
            <c:symbol val="none"/>
          </c:marker>
          <c:cat>
            <c:strRef>
              <c:f>'Charts &amp; Trends'!$C$51:$H$51</c:f>
              <c:strCache>
                <c:ptCount val="6"/>
                <c:pt idx="0">
                  <c:v>FY26A</c:v>
                </c:pt>
                <c:pt idx="1">
                  <c:v>FY27E</c:v>
                </c:pt>
                <c:pt idx="2">
                  <c:v>FY28E</c:v>
                </c:pt>
                <c:pt idx="3">
                  <c:v>FY29E</c:v>
                </c:pt>
                <c:pt idx="4">
                  <c:v>FY30E</c:v>
                </c:pt>
                <c:pt idx="5">
                  <c:v>FY31E</c:v>
                </c:pt>
              </c:strCache>
            </c:strRef>
          </c:cat>
          <c:val>
            <c:numRef>
              <c:f>'Charts &amp; Trends'!$C$53:$H$53</c:f>
              <c:numCache>
                <c:formatCode>#,##0</c:formatCode>
                <c:ptCount val="6"/>
                <c:pt idx="0">
                  <c:v>30710</c:v>
                </c:pt>
                <c:pt idx="1">
                  <c:v>30071.799930863024</c:v>
                </c:pt>
                <c:pt idx="2">
                  <c:v>27223.779992231022</c:v>
                </c:pt>
                <c:pt idx="3">
                  <c:v>18657.057679019024</c:v>
                </c:pt>
                <c:pt idx="4">
                  <c:v>6441.8955651715878</c:v>
                </c:pt>
                <c:pt idx="5">
                  <c:v>-8184.1865509736454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5AE-4FB9-80BE-CBF532D5F1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45970751"/>
        <c:axId val="1435614543"/>
      </c:lineChart>
      <c:catAx>
        <c:axId val="15459707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1435614543"/>
        <c:crosses val="autoZero"/>
        <c:auto val="1"/>
        <c:lblAlgn val="ctr"/>
        <c:lblOffset val="100"/>
        <c:noMultiLvlLbl val="0"/>
      </c:catAx>
      <c:valAx>
        <c:axId val="1435614543"/>
        <c:scaling>
          <c:orientation val="minMax"/>
        </c:scaling>
        <c:delete val="0"/>
        <c:axPos val="l"/>
        <c:majorGridlines/>
        <c:numFmt formatCode="#,##0" sourceLinked="1"/>
        <c:majorTickMark val="out"/>
        <c:minorTickMark val="none"/>
        <c:tickLblPos val="nextTo"/>
        <c:crossAx val="1545970751"/>
        <c:crosses val="autoZero"/>
        <c:crossBetween val="between"/>
      </c:valAx>
    </c:plotArea>
    <c:legend>
      <c:legendPos val="b"/>
      <c:overlay val="0"/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350520</xdr:colOff>
      <xdr:row>30</xdr:row>
      <xdr:rowOff>76200</xdr:rowOff>
    </xdr:from>
    <xdr:ext cx="576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350520</xdr:colOff>
      <xdr:row>48</xdr:row>
      <xdr:rowOff>120535</xdr:rowOff>
    </xdr:from>
    <xdr:ext cx="5760000" cy="288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127000</xdr:colOff>
      <xdr:row>3</xdr:row>
      <xdr:rowOff>104140</xdr:rowOff>
    </xdr:from>
    <xdr:to>
      <xdr:col>9</xdr:col>
      <xdr:colOff>520700</xdr:colOff>
      <xdr:row>20</xdr:row>
      <xdr:rowOff>43180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9E244C4-6E99-5E97-F399-2E55E1FA012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88900</xdr:colOff>
      <xdr:row>3</xdr:row>
      <xdr:rowOff>104140</xdr:rowOff>
    </xdr:from>
    <xdr:to>
      <xdr:col>19</xdr:col>
      <xdr:colOff>63500</xdr:colOff>
      <xdr:row>20</xdr:row>
      <xdr:rowOff>43180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1A83953-B7FE-2FA1-6E90-50D207C9AC0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127000</xdr:colOff>
      <xdr:row>21</xdr:row>
      <xdr:rowOff>38100</xdr:rowOff>
    </xdr:from>
    <xdr:to>
      <xdr:col>9</xdr:col>
      <xdr:colOff>520700</xdr:colOff>
      <xdr:row>37</xdr:row>
      <xdr:rowOff>160020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A6EDB19-BE3D-12ED-34E6-F67807D3EF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88900</xdr:colOff>
      <xdr:row>21</xdr:row>
      <xdr:rowOff>38100</xdr:rowOff>
    </xdr:from>
    <xdr:to>
      <xdr:col>19</xdr:col>
      <xdr:colOff>63500</xdr:colOff>
      <xdr:row>37</xdr:row>
      <xdr:rowOff>160020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847A47ED-6C36-D694-6ECD-50805D877B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F35"/>
  <sheetViews>
    <sheetView showGridLines="0" topLeftCell="A13" zoomScale="110" zoomScaleNormal="110" workbookViewId="0">
      <selection activeCell="G23" sqref="G23"/>
    </sheetView>
  </sheetViews>
  <sheetFormatPr defaultRowHeight="14.4"/>
  <cols>
    <col min="1" max="1" width="3.77734375" customWidth="1"/>
    <col min="2" max="2" width="40.77734375" customWidth="1"/>
    <col min="3" max="3" width="60.77734375" customWidth="1"/>
    <col min="4" max="4" width="33.77734375" customWidth="1"/>
    <col min="12" max="12" width="36.88671875" bestFit="1" customWidth="1"/>
  </cols>
  <sheetData>
    <row r="1" spans="2:6">
      <c r="B1" s="96"/>
      <c r="C1" s="96"/>
      <c r="D1" s="96"/>
      <c r="E1" s="96"/>
      <c r="F1" s="96"/>
    </row>
    <row r="2" spans="2:6" ht="24.6">
      <c r="B2" s="97" t="s">
        <v>247</v>
      </c>
      <c r="C2" s="96"/>
      <c r="D2" s="96"/>
      <c r="E2" s="96"/>
      <c r="F2" s="96"/>
    </row>
    <row r="3" spans="2:6" ht="15.6">
      <c r="B3" s="98" t="s">
        <v>248</v>
      </c>
      <c r="C3" s="96"/>
      <c r="D3" s="96"/>
      <c r="E3" s="96"/>
      <c r="F3" s="96"/>
    </row>
    <row r="5" spans="2:6" ht="15.75" customHeight="1"/>
    <row r="6" spans="2:6" ht="15.75" customHeight="1">
      <c r="B6" s="68" t="s">
        <v>249</v>
      </c>
      <c r="C6" s="67" t="s">
        <v>371</v>
      </c>
      <c r="D6" s="69" t="s">
        <v>262</v>
      </c>
    </row>
    <row r="7" spans="2:6" ht="15.75" customHeight="1">
      <c r="B7" s="68" t="s">
        <v>250</v>
      </c>
      <c r="C7" s="67" t="s">
        <v>372</v>
      </c>
      <c r="D7" s="67" t="s">
        <v>263</v>
      </c>
    </row>
    <row r="8" spans="2:6" ht="15.75" customHeight="1">
      <c r="B8" s="68" t="s">
        <v>251</v>
      </c>
      <c r="C8" s="67" t="s">
        <v>252</v>
      </c>
      <c r="D8" s="70" t="s">
        <v>264</v>
      </c>
    </row>
    <row r="9" spans="2:6" ht="15.75" customHeight="1">
      <c r="B9" s="68" t="s">
        <v>253</v>
      </c>
      <c r="C9" s="67" t="s">
        <v>254</v>
      </c>
    </row>
    <row r="10" spans="2:6" ht="15.75" customHeight="1">
      <c r="B10" s="68" t="s">
        <v>255</v>
      </c>
      <c r="C10" s="67" t="s">
        <v>256</v>
      </c>
    </row>
    <row r="11" spans="2:6" ht="15.75" customHeight="1">
      <c r="B11" s="68" t="s">
        <v>257</v>
      </c>
      <c r="C11" s="84" t="s">
        <v>373</v>
      </c>
    </row>
    <row r="12" spans="2:6" ht="15.75" customHeight="1">
      <c r="B12" s="68" t="s">
        <v>258</v>
      </c>
      <c r="C12" s="67" t="s">
        <v>259</v>
      </c>
    </row>
    <row r="13" spans="2:6" ht="15.75" customHeight="1">
      <c r="B13" s="68" t="s">
        <v>260</v>
      </c>
      <c r="C13" s="67" t="s">
        <v>261</v>
      </c>
    </row>
    <row r="14" spans="2:6" ht="15.75" customHeight="1"/>
    <row r="15" spans="2:6" ht="15.75" customHeight="1">
      <c r="B15" s="99" t="s">
        <v>265</v>
      </c>
    </row>
    <row r="16" spans="2:6" ht="15.75" customHeight="1">
      <c r="B16" s="85" t="s">
        <v>266</v>
      </c>
      <c r="C16" s="67" t="s">
        <v>267</v>
      </c>
    </row>
    <row r="17" spans="2:3" ht="15.75" customHeight="1">
      <c r="B17" s="85" t="s">
        <v>268</v>
      </c>
      <c r="C17" s="67" t="s">
        <v>269</v>
      </c>
    </row>
    <row r="18" spans="2:3" ht="15.75" customHeight="1">
      <c r="B18" s="85" t="s">
        <v>270</v>
      </c>
      <c r="C18" s="67" t="s">
        <v>271</v>
      </c>
    </row>
    <row r="19" spans="2:3" ht="15.75" customHeight="1">
      <c r="B19" s="85" t="s">
        <v>272</v>
      </c>
      <c r="C19" s="67" t="s">
        <v>273</v>
      </c>
    </row>
    <row r="20" spans="2:3" ht="15.75" customHeight="1">
      <c r="B20" s="85" t="s">
        <v>274</v>
      </c>
      <c r="C20" s="67" t="s">
        <v>275</v>
      </c>
    </row>
    <row r="21" spans="2:3" ht="15.75" customHeight="1">
      <c r="B21" s="85" t="s">
        <v>276</v>
      </c>
      <c r="C21" s="67" t="s">
        <v>277</v>
      </c>
    </row>
    <row r="22" spans="2:3" ht="15.75" customHeight="1">
      <c r="B22" s="85" t="s">
        <v>278</v>
      </c>
      <c r="C22" s="67" t="s">
        <v>279</v>
      </c>
    </row>
    <row r="23" spans="2:3" ht="15.75" customHeight="1">
      <c r="B23" s="85" t="s">
        <v>280</v>
      </c>
      <c r="C23" s="67" t="s">
        <v>281</v>
      </c>
    </row>
    <row r="24" spans="2:3" ht="15.75" customHeight="1">
      <c r="B24" s="85" t="s">
        <v>282</v>
      </c>
      <c r="C24" s="67" t="s">
        <v>283</v>
      </c>
    </row>
    <row r="25" spans="2:3" ht="15.75" customHeight="1">
      <c r="B25" s="85" t="s">
        <v>284</v>
      </c>
      <c r="C25" s="67" t="s">
        <v>285</v>
      </c>
    </row>
    <row r="26" spans="2:3" ht="15.75" customHeight="1">
      <c r="B26" s="85" t="s">
        <v>286</v>
      </c>
      <c r="C26" s="67" t="s">
        <v>287</v>
      </c>
    </row>
    <row r="27" spans="2:3" ht="15.75" customHeight="1">
      <c r="B27" s="85" t="s">
        <v>437</v>
      </c>
      <c r="C27" s="67" t="s">
        <v>438</v>
      </c>
    </row>
    <row r="28" spans="2:3" ht="15.75" customHeight="1"/>
    <row r="29" spans="2:3" ht="15.75" customHeight="1">
      <c r="B29" s="28" t="s">
        <v>0</v>
      </c>
    </row>
    <row r="30" spans="2:3" ht="15.75" customHeight="1">
      <c r="B30" s="44" t="s">
        <v>288</v>
      </c>
    </row>
    <row r="31" spans="2:3" ht="15.75" customHeight="1">
      <c r="B31" s="44" t="s">
        <v>289</v>
      </c>
    </row>
    <row r="32" spans="2:3" ht="15.75" customHeight="1">
      <c r="B32" s="44" t="s">
        <v>290</v>
      </c>
    </row>
    <row r="33" spans="2:2" ht="15.75" customHeight="1">
      <c r="B33" s="44" t="s">
        <v>291</v>
      </c>
    </row>
    <row r="34" spans="2:2" ht="15.75" customHeight="1"/>
    <row r="35" spans="2:2" ht="15.75" customHeight="1"/>
  </sheetData>
  <hyperlinks>
    <hyperlink ref="B16" location="'Historical Data'!A1" display="'Historical Data'!A1" xr:uid="{FD32CFAC-750C-46A3-A57C-4415A0CA57F4}"/>
    <hyperlink ref="B17" location="'Ratio Analysis'!A1" display="'Ratio Analysis'!A1" xr:uid="{811AC419-028B-4EBD-8EB4-2EAD079A728D}"/>
    <hyperlink ref="B18" location="'Assumptions'!A1" display="'Assumptions'!A1" xr:uid="{0928DE89-C4B9-4B49-95B4-22773ED7450A}"/>
    <hyperlink ref="B19" location="'Working Capital Schedule'!A1" display="'Working Capital Schedule'!A1" xr:uid="{BC8E85AE-39E9-41AC-8D6D-5BB1C1D6D7CF}"/>
    <hyperlink ref="B20" location="'Dep &amp; Capex Schedule'!A1" display="'Dep &amp; Capex Schedule'!A1" xr:uid="{00997C8B-FA82-42ED-B4E1-2BF41CA92411}"/>
    <hyperlink ref="B21" location="'Debt Schedule'!A1" display="'Debt Schedule'!A1" xr:uid="{ADC6A3B0-3781-4A0D-8364-83D2CA1672EB}"/>
    <hyperlink ref="B22" location="'Income Statement'!A1" display="'Income Statement'!A1" xr:uid="{3DB0171F-FCBA-4D3E-85C6-2789C2CCEAC5}"/>
    <hyperlink ref="B23" location="'Balance Sheet'!A1" display="'Balance Sheet'!A1" xr:uid="{FEB726ED-04E2-4EDE-98A6-3B6340E0E211}"/>
    <hyperlink ref="B24" location="'Cash Flow'!A1" display="'Cash Flow'!A1" xr:uid="{455E09F1-F502-4631-92F0-0DE6682EF55B}"/>
    <hyperlink ref="B25" location="'Valuation'!A1" display="'Valuation'!A1" xr:uid="{210DA433-B4C1-4478-A515-CC43A7A78066}"/>
    <hyperlink ref="B26" location="'Recommendation'!A1" display="'Recommendation'!A1" xr:uid="{4A735096-FAB5-4E0E-A19B-1B8E5AF94A27}"/>
    <hyperlink ref="B27" location="'Checks'!A1" display="'Checks'!A1" xr:uid="{309CA437-F1FC-4390-B52C-4BFE01FDC6EE}"/>
  </hyperlinks>
  <pageMargins left="0.75" right="0.75" top="1" bottom="1" header="0.5" footer="0.5"/>
  <pageSetup scale="77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51"/>
  <sheetViews>
    <sheetView showGridLines="0" zoomScaleNormal="100" workbookViewId="0">
      <pane ySplit="2" topLeftCell="A3" activePane="bottomLeft" state="frozenSplit"/>
      <selection pane="bottomLeft" activeCell="I16" sqref="I16"/>
    </sheetView>
  </sheetViews>
  <sheetFormatPr defaultRowHeight="13.8"/>
  <cols>
    <col min="1" max="1" width="5.109375" style="1" customWidth="1"/>
    <col min="2" max="2" width="30" style="1" customWidth="1"/>
    <col min="3" max="14" width="10.44140625" style="1" customWidth="1"/>
    <col min="15" max="16384" width="8.88671875" style="1"/>
  </cols>
  <sheetData>
    <row r="1" spans="1:16" ht="15.6">
      <c r="A1" s="77" t="s">
        <v>32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  <c r="N1" s="76"/>
      <c r="O1" s="76"/>
      <c r="P1" s="76"/>
    </row>
    <row r="2" spans="1:16">
      <c r="B2" s="44" t="s">
        <v>33</v>
      </c>
      <c r="C2" s="78"/>
      <c r="D2" s="78"/>
      <c r="E2" s="78"/>
      <c r="F2" s="78"/>
      <c r="G2" s="78"/>
      <c r="H2" s="78"/>
      <c r="I2" s="78"/>
      <c r="J2" s="78"/>
      <c r="K2" s="78"/>
      <c r="L2" s="78"/>
      <c r="M2" s="78"/>
      <c r="N2" s="78"/>
    </row>
    <row r="4" spans="1:16">
      <c r="B4" s="31" t="s">
        <v>34</v>
      </c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</row>
    <row r="5" spans="1:16">
      <c r="C5" s="45" t="s">
        <v>35</v>
      </c>
      <c r="D5" s="45" t="s">
        <v>36</v>
      </c>
      <c r="E5" s="45" t="s">
        <v>37</v>
      </c>
      <c r="F5" s="45" t="s">
        <v>38</v>
      </c>
      <c r="G5" s="45" t="s">
        <v>39</v>
      </c>
      <c r="H5" s="45" t="s">
        <v>40</v>
      </c>
      <c r="I5" s="45" t="s">
        <v>41</v>
      </c>
      <c r="J5" s="45" t="s">
        <v>42</v>
      </c>
      <c r="K5" s="45" t="s">
        <v>43</v>
      </c>
      <c r="L5" s="45" t="s">
        <v>44</v>
      </c>
      <c r="M5" s="45" t="s">
        <v>45</v>
      </c>
      <c r="N5" s="45" t="s">
        <v>46</v>
      </c>
    </row>
    <row r="6" spans="1:16">
      <c r="B6" s="1" t="s">
        <v>47</v>
      </c>
      <c r="C6" s="46">
        <v>263159</v>
      </c>
      <c r="D6" s="46">
        <v>273046</v>
      </c>
      <c r="E6" s="46">
        <v>269693</v>
      </c>
      <c r="F6" s="46">
        <v>291550</v>
      </c>
      <c r="G6" s="46">
        <v>301938</v>
      </c>
      <c r="H6" s="46">
        <v>261068</v>
      </c>
      <c r="I6" s="46">
        <v>249795</v>
      </c>
      <c r="J6" s="46">
        <v>278454</v>
      </c>
      <c r="K6" s="46">
        <v>345967</v>
      </c>
      <c r="L6" s="46">
        <v>434016</v>
      </c>
      <c r="M6" s="46">
        <v>366094</v>
      </c>
      <c r="N6" s="46">
        <v>335582</v>
      </c>
    </row>
    <row r="7" spans="1:16">
      <c r="B7" s="1" t="s">
        <v>48</v>
      </c>
      <c r="C7" s="46">
        <v>223920</v>
      </c>
      <c r="D7" s="46">
        <v>234650</v>
      </c>
      <c r="E7" s="46">
        <v>240104</v>
      </c>
      <c r="F7" s="46">
        <v>260093</v>
      </c>
      <c r="G7" s="46">
        <v>277274</v>
      </c>
      <c r="H7" s="46">
        <v>243081</v>
      </c>
      <c r="I7" s="86">
        <v>217507</v>
      </c>
      <c r="J7" s="86">
        <v>253734</v>
      </c>
      <c r="K7" s="86">
        <v>314151</v>
      </c>
      <c r="L7" s="86">
        <v>376207</v>
      </c>
      <c r="M7" s="86">
        <v>318101</v>
      </c>
      <c r="N7" s="86">
        <v>316863</v>
      </c>
    </row>
    <row r="8" spans="1:16">
      <c r="B8" s="1" t="s">
        <v>49</v>
      </c>
      <c r="C8" s="47">
        <v>39239</v>
      </c>
      <c r="D8" s="47">
        <v>38395</v>
      </c>
      <c r="E8" s="47">
        <v>29589</v>
      </c>
      <c r="F8" s="47">
        <v>31458</v>
      </c>
      <c r="G8" s="47">
        <v>24664</v>
      </c>
      <c r="H8" s="47">
        <v>17987</v>
      </c>
      <c r="I8" s="46">
        <v>32287</v>
      </c>
      <c r="J8" s="46">
        <v>24720</v>
      </c>
      <c r="K8" s="46">
        <v>31816</v>
      </c>
      <c r="L8" s="46">
        <v>57809</v>
      </c>
      <c r="M8" s="46">
        <v>47993</v>
      </c>
      <c r="N8" s="46">
        <v>18719</v>
      </c>
    </row>
    <row r="9" spans="1:16">
      <c r="B9" s="1" t="s">
        <v>50</v>
      </c>
      <c r="C9" s="11">
        <v>0.14910000000000001</v>
      </c>
      <c r="D9" s="11">
        <v>0.1406</v>
      </c>
      <c r="E9" s="11">
        <v>0.10970000000000001</v>
      </c>
      <c r="F9" s="11">
        <v>0.1079</v>
      </c>
      <c r="G9" s="11">
        <v>8.1699999999999995E-2</v>
      </c>
      <c r="H9" s="11">
        <v>6.8900000000000003E-2</v>
      </c>
      <c r="I9" s="11">
        <v>0.1293</v>
      </c>
      <c r="J9" s="11">
        <v>8.8800000000000004E-2</v>
      </c>
      <c r="K9" s="11">
        <v>9.1999999999999998E-2</v>
      </c>
      <c r="L9" s="11">
        <v>0.13320000000000001</v>
      </c>
      <c r="M9" s="11">
        <v>0.13109999999999999</v>
      </c>
      <c r="N9" s="11">
        <v>5.5800000000000002E-2</v>
      </c>
    </row>
    <row r="10" spans="1:16">
      <c r="B10" s="1" t="s">
        <v>51</v>
      </c>
      <c r="C10" s="46">
        <v>714</v>
      </c>
      <c r="D10" s="46">
        <v>-2670</v>
      </c>
      <c r="E10" s="46">
        <v>1869</v>
      </c>
      <c r="F10" s="46">
        <v>5933</v>
      </c>
      <c r="G10" s="46">
        <v>-26686</v>
      </c>
      <c r="H10" s="46">
        <v>102</v>
      </c>
      <c r="I10" s="46">
        <v>-11118</v>
      </c>
      <c r="J10" s="46">
        <v>2424</v>
      </c>
      <c r="K10" s="46">
        <v>6664</v>
      </c>
      <c r="L10" s="46">
        <v>4807</v>
      </c>
      <c r="M10" s="46">
        <v>14219</v>
      </c>
      <c r="N10" s="46">
        <v>86291</v>
      </c>
    </row>
    <row r="11" spans="1:16">
      <c r="B11" s="1" t="s">
        <v>52</v>
      </c>
      <c r="C11" s="46">
        <v>4861</v>
      </c>
      <c r="D11" s="46">
        <v>4889</v>
      </c>
      <c r="E11" s="46">
        <v>4238</v>
      </c>
      <c r="F11" s="46">
        <v>4682</v>
      </c>
      <c r="G11" s="46">
        <v>5759</v>
      </c>
      <c r="H11" s="46">
        <v>7243</v>
      </c>
      <c r="I11" s="46">
        <v>8097</v>
      </c>
      <c r="J11" s="46">
        <v>9312</v>
      </c>
      <c r="K11" s="46">
        <v>10225</v>
      </c>
      <c r="L11" s="46">
        <v>7594</v>
      </c>
      <c r="M11" s="46">
        <v>3901</v>
      </c>
      <c r="N11" s="46">
        <v>2827</v>
      </c>
    </row>
    <row r="12" spans="1:16">
      <c r="B12" s="1" t="s">
        <v>53</v>
      </c>
      <c r="C12" s="46">
        <v>13389</v>
      </c>
      <c r="D12" s="46">
        <v>16711</v>
      </c>
      <c r="E12" s="46">
        <v>17905</v>
      </c>
      <c r="F12" s="46">
        <v>21554</v>
      </c>
      <c r="G12" s="46">
        <v>23591</v>
      </c>
      <c r="H12" s="46">
        <v>21425</v>
      </c>
      <c r="I12" s="46">
        <v>23547</v>
      </c>
      <c r="J12" s="46">
        <v>24836</v>
      </c>
      <c r="K12" s="46">
        <v>24860</v>
      </c>
      <c r="L12" s="46">
        <v>27239</v>
      </c>
      <c r="M12" s="46">
        <v>21102</v>
      </c>
      <c r="N12" s="46">
        <v>19784</v>
      </c>
    </row>
    <row r="13" spans="1:16">
      <c r="B13" s="1" t="s">
        <v>54</v>
      </c>
      <c r="C13" s="47">
        <f>C8+C10-C11-C12</f>
        <v>21703</v>
      </c>
      <c r="D13" s="47">
        <f t="shared" ref="D13:F13" si="0">D8+D10-D11-D12</f>
        <v>14125</v>
      </c>
      <c r="E13" s="47">
        <f t="shared" si="0"/>
        <v>9315</v>
      </c>
      <c r="F13" s="47">
        <f t="shared" si="0"/>
        <v>11155</v>
      </c>
      <c r="G13" s="47">
        <f t="shared" ref="G13" si="1">G8+G10-G11-G12</f>
        <v>-31372</v>
      </c>
      <c r="H13" s="47">
        <f t="shared" ref="H13:I13" si="2">H8+H10-H11-H12</f>
        <v>-10579</v>
      </c>
      <c r="I13" s="47">
        <f t="shared" si="2"/>
        <v>-10475</v>
      </c>
      <c r="J13" s="47">
        <f t="shared" ref="J13" si="3">J8+J10-J11-J12</f>
        <v>-7004</v>
      </c>
      <c r="K13" s="47">
        <f t="shared" ref="K13:L13" si="4">K8+K10-K11-K12</f>
        <v>3395</v>
      </c>
      <c r="L13" s="47">
        <f t="shared" si="4"/>
        <v>27783</v>
      </c>
      <c r="M13" s="47">
        <f t="shared" ref="M13" si="5">M8+M10-M11-M12</f>
        <v>37209</v>
      </c>
      <c r="N13" s="47">
        <f t="shared" ref="N13" si="6">N8+N10-N11-N12</f>
        <v>82399</v>
      </c>
      <c r="P13" s="48"/>
    </row>
    <row r="14" spans="1:16">
      <c r="B14" s="1" t="s">
        <v>55</v>
      </c>
      <c r="C14" s="12">
        <v>0.35</v>
      </c>
      <c r="D14" s="12">
        <v>0.21</v>
      </c>
      <c r="E14" s="12">
        <v>0.35</v>
      </c>
      <c r="F14" s="12">
        <v>0.39</v>
      </c>
      <c r="G14" s="12">
        <v>-0.08</v>
      </c>
      <c r="H14" s="12">
        <v>0.04</v>
      </c>
      <c r="I14" s="41">
        <v>0.24</v>
      </c>
      <c r="J14" s="41">
        <v>0.6</v>
      </c>
      <c r="K14" s="41">
        <v>0.21</v>
      </c>
      <c r="L14" s="41">
        <v>-0.14000000000000001</v>
      </c>
      <c r="M14" s="41">
        <v>0.24</v>
      </c>
      <c r="N14" s="41">
        <v>0</v>
      </c>
    </row>
    <row r="15" spans="1:16">
      <c r="B15" s="1" t="s">
        <v>56</v>
      </c>
      <c r="C15" s="47">
        <v>14073</v>
      </c>
      <c r="D15" s="47">
        <v>11678</v>
      </c>
      <c r="E15" s="47">
        <v>7557</v>
      </c>
      <c r="F15" s="47">
        <v>9091</v>
      </c>
      <c r="G15" s="47">
        <v>-28724</v>
      </c>
      <c r="H15" s="47">
        <v>-11975</v>
      </c>
      <c r="I15" s="46">
        <v>-13395</v>
      </c>
      <c r="J15" s="46">
        <v>-11309</v>
      </c>
      <c r="K15" s="46">
        <v>2690</v>
      </c>
      <c r="L15" s="46">
        <v>31807</v>
      </c>
      <c r="M15" s="46">
        <v>28149</v>
      </c>
      <c r="N15" s="46">
        <v>82645</v>
      </c>
    </row>
    <row r="16" spans="1:16">
      <c r="B16" s="1" t="s">
        <v>57</v>
      </c>
      <c r="C16" s="13">
        <v>48.44</v>
      </c>
      <c r="D16" s="13">
        <v>40.11</v>
      </c>
      <c r="E16" s="13">
        <v>25.82</v>
      </c>
      <c r="F16" s="13">
        <v>31.13</v>
      </c>
      <c r="G16" s="13">
        <v>-99.84</v>
      </c>
      <c r="H16" s="13">
        <v>-39.08</v>
      </c>
      <c r="I16" s="13">
        <v>-40.51</v>
      </c>
      <c r="J16" s="13">
        <v>-34.450000000000003</v>
      </c>
      <c r="K16" s="13">
        <v>7.27</v>
      </c>
      <c r="L16" s="13">
        <v>94.47</v>
      </c>
      <c r="M16" s="13">
        <v>75.599999999999994</v>
      </c>
      <c r="N16" s="13">
        <v>223.74</v>
      </c>
    </row>
    <row r="18" spans="2:14">
      <c r="B18" s="31" t="s">
        <v>58</v>
      </c>
      <c r="C18" s="32"/>
      <c r="D18" s="32"/>
      <c r="E18" s="32"/>
      <c r="F18" s="32"/>
      <c r="G18" s="32"/>
      <c r="H18" s="32"/>
      <c r="I18" s="32"/>
      <c r="J18" s="32"/>
      <c r="K18" s="32"/>
      <c r="L18" s="32"/>
      <c r="M18" s="32"/>
      <c r="N18" s="32"/>
    </row>
    <row r="19" spans="2:14">
      <c r="C19" s="9" t="s">
        <v>35</v>
      </c>
      <c r="D19" s="9" t="s">
        <v>36</v>
      </c>
      <c r="E19" s="9" t="s">
        <v>37</v>
      </c>
      <c r="F19" s="9" t="s">
        <v>38</v>
      </c>
      <c r="G19" s="9" t="s">
        <v>39</v>
      </c>
      <c r="H19" s="9" t="s">
        <v>40</v>
      </c>
      <c r="I19" s="9" t="s">
        <v>41</v>
      </c>
      <c r="J19" s="9" t="s">
        <v>42</v>
      </c>
      <c r="K19" s="9" t="s">
        <v>43</v>
      </c>
      <c r="L19" s="9" t="s">
        <v>44</v>
      </c>
      <c r="M19" s="9" t="s">
        <v>45</v>
      </c>
      <c r="N19" s="9" t="s">
        <v>46</v>
      </c>
    </row>
    <row r="20" spans="2:14">
      <c r="B20" s="1" t="s">
        <v>59</v>
      </c>
      <c r="C20" s="46">
        <v>644</v>
      </c>
      <c r="D20" s="46">
        <v>679</v>
      </c>
      <c r="E20" s="46">
        <v>679</v>
      </c>
      <c r="F20" s="46">
        <v>679</v>
      </c>
      <c r="G20" s="46">
        <v>679</v>
      </c>
      <c r="H20" s="46">
        <v>720</v>
      </c>
      <c r="I20" s="46">
        <v>766</v>
      </c>
      <c r="J20" s="46">
        <v>766</v>
      </c>
      <c r="K20" s="46">
        <v>766</v>
      </c>
      <c r="L20" s="46">
        <v>767</v>
      </c>
      <c r="M20" s="46">
        <v>736</v>
      </c>
      <c r="N20" s="46">
        <v>737</v>
      </c>
    </row>
    <row r="21" spans="2:14">
      <c r="B21" s="1" t="s">
        <v>60</v>
      </c>
      <c r="C21" s="46">
        <v>55618</v>
      </c>
      <c r="D21" s="46">
        <v>78273</v>
      </c>
      <c r="E21" s="46">
        <v>57383</v>
      </c>
      <c r="F21" s="46">
        <v>94749</v>
      </c>
      <c r="G21" s="46">
        <v>59500</v>
      </c>
      <c r="H21" s="46">
        <v>62359</v>
      </c>
      <c r="I21" s="46">
        <v>54481</v>
      </c>
      <c r="J21" s="46">
        <v>43795</v>
      </c>
      <c r="K21" s="46">
        <v>44556</v>
      </c>
      <c r="L21" s="46">
        <v>84151</v>
      </c>
      <c r="M21" s="46">
        <v>115408</v>
      </c>
      <c r="N21" s="46">
        <v>111331</v>
      </c>
    </row>
    <row r="22" spans="2:14">
      <c r="B22" s="1" t="s">
        <v>61</v>
      </c>
      <c r="C22" s="46">
        <v>73610</v>
      </c>
      <c r="D22" s="46">
        <v>69360</v>
      </c>
      <c r="E22" s="46">
        <v>78604</v>
      </c>
      <c r="F22" s="46">
        <v>88950</v>
      </c>
      <c r="G22" s="46">
        <v>106175</v>
      </c>
      <c r="H22" s="46">
        <v>124788</v>
      </c>
      <c r="I22" s="46">
        <v>142131</v>
      </c>
      <c r="J22" s="46">
        <v>146449</v>
      </c>
      <c r="K22" s="46">
        <v>134113</v>
      </c>
      <c r="L22" s="46">
        <v>107264</v>
      </c>
      <c r="M22" s="46">
        <v>71540</v>
      </c>
      <c r="N22" s="46">
        <v>79109</v>
      </c>
    </row>
    <row r="23" spans="2:14">
      <c r="B23" s="1" t="s">
        <v>62</v>
      </c>
      <c r="C23" s="46">
        <v>107442</v>
      </c>
      <c r="D23" s="46">
        <v>114872</v>
      </c>
      <c r="E23" s="46">
        <v>135914</v>
      </c>
      <c r="F23" s="46">
        <v>142813</v>
      </c>
      <c r="G23" s="46">
        <v>139349</v>
      </c>
      <c r="H23" s="46">
        <v>132313</v>
      </c>
      <c r="I23" s="46">
        <v>144193</v>
      </c>
      <c r="J23" s="46">
        <v>138051</v>
      </c>
      <c r="K23" s="46">
        <v>155239</v>
      </c>
      <c r="L23" s="46">
        <v>177339</v>
      </c>
      <c r="M23" s="46">
        <v>189289</v>
      </c>
      <c r="N23" s="46">
        <v>188012</v>
      </c>
    </row>
    <row r="24" spans="2:14">
      <c r="B24" s="1" t="s">
        <v>63</v>
      </c>
      <c r="C24" s="49">
        <f>SUM(C20:C23)</f>
        <v>237314</v>
      </c>
      <c r="D24" s="49">
        <f t="shared" ref="D24:N24" si="7">SUM(D20:D23)</f>
        <v>263184</v>
      </c>
      <c r="E24" s="49">
        <f t="shared" si="7"/>
        <v>272580</v>
      </c>
      <c r="F24" s="49">
        <f t="shared" si="7"/>
        <v>327191</v>
      </c>
      <c r="G24" s="49">
        <f t="shared" si="7"/>
        <v>305703</v>
      </c>
      <c r="H24" s="49">
        <f t="shared" si="7"/>
        <v>320180</v>
      </c>
      <c r="I24" s="49">
        <f t="shared" si="7"/>
        <v>341571</v>
      </c>
      <c r="J24" s="49">
        <f t="shared" si="7"/>
        <v>329061</v>
      </c>
      <c r="K24" s="49">
        <f t="shared" si="7"/>
        <v>334674</v>
      </c>
      <c r="L24" s="49">
        <f t="shared" si="7"/>
        <v>369521</v>
      </c>
      <c r="M24" s="49">
        <f t="shared" si="7"/>
        <v>376973</v>
      </c>
      <c r="N24" s="49">
        <f t="shared" si="7"/>
        <v>379189</v>
      </c>
    </row>
    <row r="25" spans="2:14">
      <c r="B25" s="1" t="s">
        <v>64</v>
      </c>
      <c r="C25" s="46">
        <v>88479</v>
      </c>
      <c r="D25" s="46">
        <v>107232</v>
      </c>
      <c r="E25" s="46">
        <v>95944</v>
      </c>
      <c r="F25" s="46">
        <v>121414</v>
      </c>
      <c r="G25" s="46">
        <v>111234</v>
      </c>
      <c r="H25" s="46">
        <v>127107</v>
      </c>
      <c r="I25" s="46">
        <v>138708</v>
      </c>
      <c r="J25" s="46">
        <v>138855</v>
      </c>
      <c r="K25" s="46">
        <v>132080</v>
      </c>
      <c r="L25" s="46">
        <v>121285</v>
      </c>
      <c r="M25" s="46">
        <v>115697</v>
      </c>
      <c r="N25" s="46">
        <v>104656</v>
      </c>
    </row>
    <row r="26" spans="2:14">
      <c r="B26" s="1" t="s">
        <v>65</v>
      </c>
      <c r="C26" s="46">
        <v>28640</v>
      </c>
      <c r="D26" s="46">
        <v>25919</v>
      </c>
      <c r="E26" s="46">
        <v>33699</v>
      </c>
      <c r="F26" s="46">
        <v>40034</v>
      </c>
      <c r="G26" s="46">
        <v>31884</v>
      </c>
      <c r="H26" s="46">
        <v>35622</v>
      </c>
      <c r="I26" s="46">
        <v>20964</v>
      </c>
      <c r="J26" s="46">
        <v>10251</v>
      </c>
      <c r="K26" s="46">
        <v>14274</v>
      </c>
      <c r="L26" s="46">
        <v>35698</v>
      </c>
      <c r="M26" s="46">
        <v>65806</v>
      </c>
      <c r="N26" s="46">
        <v>102654</v>
      </c>
    </row>
    <row r="27" spans="2:14">
      <c r="B27" s="1" t="s">
        <v>66</v>
      </c>
      <c r="C27" s="46">
        <v>15337</v>
      </c>
      <c r="D27" s="46">
        <v>23767</v>
      </c>
      <c r="E27" s="46">
        <v>20338</v>
      </c>
      <c r="F27" s="46">
        <v>20813</v>
      </c>
      <c r="G27" s="46">
        <v>15771</v>
      </c>
      <c r="H27" s="46">
        <v>16308</v>
      </c>
      <c r="I27" s="46">
        <v>24620</v>
      </c>
      <c r="J27" s="46">
        <v>29380</v>
      </c>
      <c r="K27" s="46">
        <v>26379</v>
      </c>
      <c r="L27" s="46">
        <v>22971</v>
      </c>
      <c r="M27" s="46">
        <v>35656</v>
      </c>
      <c r="N27" s="46">
        <v>26313</v>
      </c>
    </row>
    <row r="28" spans="2:14">
      <c r="B28" s="1" t="s">
        <v>67</v>
      </c>
      <c r="C28" s="46">
        <v>104858</v>
      </c>
      <c r="D28" s="46">
        <v>106266</v>
      </c>
      <c r="E28" s="46">
        <v>122600</v>
      </c>
      <c r="F28" s="46">
        <v>144932</v>
      </c>
      <c r="G28" s="46">
        <v>146814</v>
      </c>
      <c r="H28" s="46">
        <v>141141</v>
      </c>
      <c r="I28" s="46">
        <v>157278</v>
      </c>
      <c r="J28" s="46">
        <v>150575</v>
      </c>
      <c r="K28" s="46">
        <v>161941</v>
      </c>
      <c r="L28" s="46">
        <v>189567</v>
      </c>
      <c r="M28" s="46">
        <v>159814</v>
      </c>
      <c r="N28" s="46">
        <v>145566</v>
      </c>
    </row>
    <row r="29" spans="2:14">
      <c r="B29" s="1" t="s">
        <v>68</v>
      </c>
      <c r="C29" s="49">
        <f>SUM(C25:C28)</f>
        <v>237314</v>
      </c>
      <c r="D29" s="49">
        <f t="shared" ref="D29:N29" si="8">SUM(D25:D28)</f>
        <v>263184</v>
      </c>
      <c r="E29" s="49">
        <f t="shared" si="8"/>
        <v>272581</v>
      </c>
      <c r="F29" s="49">
        <f t="shared" si="8"/>
        <v>327193</v>
      </c>
      <c r="G29" s="49">
        <f t="shared" si="8"/>
        <v>305703</v>
      </c>
      <c r="H29" s="49">
        <f t="shared" si="8"/>
        <v>320178</v>
      </c>
      <c r="I29" s="49">
        <f t="shared" si="8"/>
        <v>341570</v>
      </c>
      <c r="J29" s="49">
        <f t="shared" si="8"/>
        <v>329061</v>
      </c>
      <c r="K29" s="49">
        <f t="shared" si="8"/>
        <v>334674</v>
      </c>
      <c r="L29" s="49">
        <f t="shared" si="8"/>
        <v>369521</v>
      </c>
      <c r="M29" s="49">
        <f t="shared" si="8"/>
        <v>376973</v>
      </c>
      <c r="N29" s="49">
        <f t="shared" si="8"/>
        <v>379189</v>
      </c>
    </row>
    <row r="31" spans="2:14">
      <c r="B31" s="31" t="s">
        <v>69</v>
      </c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</row>
    <row r="32" spans="2:14">
      <c r="C32" s="9" t="s">
        <v>35</v>
      </c>
      <c r="D32" s="9" t="s">
        <v>36</v>
      </c>
      <c r="E32" s="9" t="s">
        <v>37</v>
      </c>
      <c r="F32" s="9" t="s">
        <v>38</v>
      </c>
      <c r="G32" s="9" t="s">
        <v>39</v>
      </c>
      <c r="H32" s="9" t="s">
        <v>40</v>
      </c>
      <c r="I32" s="9" t="s">
        <v>41</v>
      </c>
      <c r="J32" s="9" t="s">
        <v>42</v>
      </c>
      <c r="K32" s="9" t="s">
        <v>43</v>
      </c>
      <c r="L32" s="9" t="s">
        <v>44</v>
      </c>
      <c r="M32" s="9" t="s">
        <v>45</v>
      </c>
      <c r="N32" s="9" t="s">
        <v>46</v>
      </c>
    </row>
    <row r="33" spans="2:14">
      <c r="B33" s="1" t="s">
        <v>70</v>
      </c>
      <c r="C33" s="46">
        <v>35531</v>
      </c>
      <c r="D33" s="46">
        <v>37900</v>
      </c>
      <c r="E33" s="46">
        <v>30199</v>
      </c>
      <c r="F33" s="46">
        <v>23857</v>
      </c>
      <c r="G33" s="46">
        <v>18891</v>
      </c>
      <c r="H33" s="46">
        <v>26633</v>
      </c>
      <c r="I33" s="46">
        <v>29001</v>
      </c>
      <c r="J33" s="46">
        <v>14283</v>
      </c>
      <c r="K33" s="46">
        <v>35388</v>
      </c>
      <c r="L33" s="46">
        <v>67915</v>
      </c>
      <c r="M33" s="46">
        <v>63102</v>
      </c>
      <c r="N33" s="46">
        <v>13041</v>
      </c>
    </row>
    <row r="34" spans="2:14">
      <c r="B34" s="1" t="s">
        <v>71</v>
      </c>
      <c r="C34" s="46">
        <v>-36232</v>
      </c>
      <c r="D34" s="46">
        <v>-36694</v>
      </c>
      <c r="E34" s="46">
        <v>-39571</v>
      </c>
      <c r="F34" s="46">
        <v>-25139</v>
      </c>
      <c r="G34" s="46">
        <v>-20878</v>
      </c>
      <c r="H34" s="46">
        <v>-33115</v>
      </c>
      <c r="I34" s="46">
        <v>-25672</v>
      </c>
      <c r="J34" s="46">
        <v>-4444</v>
      </c>
      <c r="K34" s="46">
        <v>-15417</v>
      </c>
      <c r="L34" s="46">
        <v>-22781</v>
      </c>
      <c r="M34" s="46">
        <v>-49982</v>
      </c>
      <c r="N34" s="46">
        <v>-23166</v>
      </c>
    </row>
    <row r="35" spans="2:14">
      <c r="B35" s="1" t="s">
        <v>72</v>
      </c>
      <c r="C35" s="46">
        <v>5201</v>
      </c>
      <c r="D35" s="46">
        <v>-3795</v>
      </c>
      <c r="E35" s="46">
        <v>6205</v>
      </c>
      <c r="F35" s="46">
        <v>2012</v>
      </c>
      <c r="G35" s="46">
        <v>8830</v>
      </c>
      <c r="H35" s="46">
        <v>3390</v>
      </c>
      <c r="I35" s="46">
        <v>9904</v>
      </c>
      <c r="J35" s="46">
        <v>-3380</v>
      </c>
      <c r="K35" s="46">
        <v>-26243</v>
      </c>
      <c r="L35" s="46">
        <v>-37006</v>
      </c>
      <c r="M35" s="46">
        <v>-18786</v>
      </c>
      <c r="N35" s="46">
        <v>-1344</v>
      </c>
    </row>
    <row r="36" spans="2:14">
      <c r="B36" s="1" t="s">
        <v>73</v>
      </c>
      <c r="C36" s="47">
        <f>SUM(C33:C35)</f>
        <v>4500</v>
      </c>
      <c r="D36" s="47">
        <f t="shared" ref="D36:N36" si="9">SUM(D33:D35)</f>
        <v>-2589</v>
      </c>
      <c r="E36" s="47">
        <f t="shared" si="9"/>
        <v>-3167</v>
      </c>
      <c r="F36" s="47">
        <f t="shared" si="9"/>
        <v>730</v>
      </c>
      <c r="G36" s="47">
        <f t="shared" si="9"/>
        <v>6843</v>
      </c>
      <c r="H36" s="47">
        <f t="shared" si="9"/>
        <v>-3092</v>
      </c>
      <c r="I36" s="47">
        <f t="shared" si="9"/>
        <v>13233</v>
      </c>
      <c r="J36" s="47">
        <f t="shared" si="9"/>
        <v>6459</v>
      </c>
      <c r="K36" s="47">
        <f t="shared" si="9"/>
        <v>-6272</v>
      </c>
      <c r="L36" s="47">
        <f t="shared" si="9"/>
        <v>8128</v>
      </c>
      <c r="M36" s="47">
        <f t="shared" si="9"/>
        <v>-5666</v>
      </c>
      <c r="N36" s="47">
        <f t="shared" si="9"/>
        <v>-11469</v>
      </c>
    </row>
    <row r="38" spans="2:14">
      <c r="B38" s="31" t="s">
        <v>74</v>
      </c>
      <c r="C38" s="32"/>
      <c r="D38" s="32"/>
      <c r="E38" s="32"/>
      <c r="F38" s="32"/>
      <c r="G38" s="32"/>
      <c r="H38" s="32"/>
      <c r="I38" s="32"/>
      <c r="J38" s="32"/>
      <c r="K38" s="32"/>
      <c r="L38" s="32"/>
      <c r="M38" s="32"/>
      <c r="N38" s="32"/>
    </row>
    <row r="39" spans="2:14">
      <c r="C39" s="9" t="s">
        <v>35</v>
      </c>
      <c r="D39" s="9" t="s">
        <v>36</v>
      </c>
      <c r="E39" s="9" t="s">
        <v>37</v>
      </c>
      <c r="F39" s="9" t="s">
        <v>38</v>
      </c>
      <c r="G39" s="9" t="s">
        <v>39</v>
      </c>
      <c r="H39" s="9" t="s">
        <v>40</v>
      </c>
      <c r="I39" s="9" t="s">
        <v>41</v>
      </c>
      <c r="J39" s="9" t="s">
        <v>42</v>
      </c>
      <c r="K39" s="9" t="s">
        <v>43</v>
      </c>
      <c r="L39" s="9" t="s">
        <v>44</v>
      </c>
      <c r="M39" s="9" t="s">
        <v>45</v>
      </c>
      <c r="N39" s="9" t="s">
        <v>46</v>
      </c>
    </row>
    <row r="40" spans="2:14">
      <c r="B40" s="1" t="s">
        <v>75</v>
      </c>
      <c r="C40" s="12">
        <v>0.21</v>
      </c>
      <c r="D40" s="12">
        <v>0.15</v>
      </c>
      <c r="E40" s="12">
        <v>0.09</v>
      </c>
      <c r="F40" s="12">
        <v>0.09</v>
      </c>
      <c r="G40" s="12">
        <v>0.02</v>
      </c>
      <c r="H40" s="12">
        <v>0</v>
      </c>
      <c r="I40" s="12">
        <v>0.06</v>
      </c>
      <c r="J40" s="12">
        <v>0.01</v>
      </c>
      <c r="K40" s="12">
        <v>0.06</v>
      </c>
      <c r="L40" s="12">
        <v>0.19</v>
      </c>
      <c r="M40" s="12">
        <v>0.16</v>
      </c>
      <c r="N40" s="12">
        <v>0.03</v>
      </c>
    </row>
    <row r="41" spans="2:14">
      <c r="B41" s="1" t="s">
        <v>76</v>
      </c>
      <c r="C41" s="15">
        <v>17</v>
      </c>
      <c r="D41" s="15">
        <v>18</v>
      </c>
      <c r="E41" s="15">
        <v>19</v>
      </c>
      <c r="F41" s="15">
        <v>25</v>
      </c>
      <c r="G41" s="15">
        <v>23</v>
      </c>
      <c r="H41" s="15">
        <v>16</v>
      </c>
      <c r="I41" s="15">
        <v>19</v>
      </c>
      <c r="J41" s="15">
        <v>16</v>
      </c>
      <c r="K41" s="15">
        <v>17</v>
      </c>
      <c r="L41" s="15">
        <v>14</v>
      </c>
      <c r="M41" s="15">
        <v>13</v>
      </c>
      <c r="N41" s="15">
        <v>14</v>
      </c>
    </row>
    <row r="42" spans="2:14">
      <c r="B42" s="1" t="s">
        <v>77</v>
      </c>
      <c r="C42" s="15">
        <v>67</v>
      </c>
      <c r="D42" s="15">
        <v>73</v>
      </c>
      <c r="E42" s="15">
        <v>77</v>
      </c>
      <c r="F42" s="15">
        <v>83</v>
      </c>
      <c r="G42" s="15">
        <v>73</v>
      </c>
      <c r="H42" s="15">
        <v>82</v>
      </c>
      <c r="I42" s="15">
        <v>83</v>
      </c>
      <c r="J42" s="15">
        <v>71</v>
      </c>
      <c r="K42" s="15">
        <v>66</v>
      </c>
      <c r="L42" s="15">
        <v>64</v>
      </c>
      <c r="M42" s="15">
        <v>78</v>
      </c>
      <c r="N42" s="15">
        <v>85</v>
      </c>
    </row>
    <row r="43" spans="2:14">
      <c r="B43" s="1" t="s">
        <v>78</v>
      </c>
      <c r="C43" s="15">
        <v>131</v>
      </c>
      <c r="D43" s="15">
        <v>138</v>
      </c>
      <c r="E43" s="15">
        <v>138</v>
      </c>
      <c r="F43" s="15">
        <v>151</v>
      </c>
      <c r="G43" s="15">
        <v>133</v>
      </c>
      <c r="H43" s="15">
        <v>145</v>
      </c>
      <c r="I43" s="15">
        <v>175</v>
      </c>
      <c r="J43" s="15">
        <v>141</v>
      </c>
      <c r="K43" s="15">
        <v>128</v>
      </c>
      <c r="L43" s="15">
        <v>126</v>
      </c>
      <c r="M43" s="15">
        <v>160</v>
      </c>
      <c r="N43" s="15">
        <v>158</v>
      </c>
    </row>
    <row r="44" spans="2:14">
      <c r="B44" s="1" t="s">
        <v>79</v>
      </c>
      <c r="C44" s="15">
        <v>-47</v>
      </c>
      <c r="D44" s="15">
        <v>-46</v>
      </c>
      <c r="E44" s="15">
        <v>-41</v>
      </c>
      <c r="F44" s="15">
        <v>-43</v>
      </c>
      <c r="G44" s="15">
        <v>-38</v>
      </c>
      <c r="H44" s="15">
        <v>-48</v>
      </c>
      <c r="I44" s="15">
        <v>-74</v>
      </c>
      <c r="J44" s="15">
        <v>-53</v>
      </c>
      <c r="K44" s="15">
        <v>-45</v>
      </c>
      <c r="L44" s="15">
        <v>-48</v>
      </c>
      <c r="M44" s="15">
        <v>-69</v>
      </c>
      <c r="N44" s="15">
        <v>-59</v>
      </c>
    </row>
    <row r="45" spans="2:14">
      <c r="B45" s="1" t="s">
        <v>80</v>
      </c>
      <c r="C45" s="15">
        <v>-62</v>
      </c>
      <c r="D45" s="15">
        <v>-63</v>
      </c>
      <c r="E45" s="15">
        <v>-69</v>
      </c>
      <c r="F45" s="15">
        <v>-71</v>
      </c>
      <c r="G45" s="15">
        <v>-78</v>
      </c>
      <c r="H45" s="15">
        <v>-92</v>
      </c>
      <c r="I45" s="15">
        <v>-112</v>
      </c>
      <c r="J45" s="15">
        <v>-88</v>
      </c>
      <c r="K45" s="15">
        <v>-63</v>
      </c>
      <c r="L45" s="15">
        <v>-55</v>
      </c>
      <c r="M45" s="15">
        <v>-75</v>
      </c>
      <c r="N45" s="15">
        <v>-81</v>
      </c>
    </row>
    <row r="47" spans="2:14">
      <c r="B47" s="44" t="s">
        <v>81</v>
      </c>
    </row>
    <row r="48" spans="2:14">
      <c r="B48" s="44" t="s">
        <v>82</v>
      </c>
    </row>
    <row r="49" spans="2:2">
      <c r="B49" s="44" t="s">
        <v>83</v>
      </c>
    </row>
    <row r="50" spans="2:2">
      <c r="B50" s="44" t="s">
        <v>84</v>
      </c>
    </row>
    <row r="51" spans="2:2">
      <c r="B51" s="44" t="s">
        <v>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K41"/>
  <sheetViews>
    <sheetView showGridLines="0" zoomScale="110" zoomScaleNormal="110" workbookViewId="0">
      <pane ySplit="2" topLeftCell="A3" activePane="bottomLeft" state="frozenSplit"/>
      <selection pane="bottomLeft" activeCell="J19" sqref="J19"/>
    </sheetView>
  </sheetViews>
  <sheetFormatPr defaultRowHeight="13.8"/>
  <cols>
    <col min="1" max="1" width="5.109375" style="1" customWidth="1"/>
    <col min="2" max="2" width="38" style="1" customWidth="1"/>
    <col min="3" max="8" width="12" style="1" customWidth="1"/>
    <col min="9" max="9" width="70" style="91" customWidth="1"/>
    <col min="10" max="16384" width="8.88671875" style="1"/>
  </cols>
  <sheetData>
    <row r="1" spans="1:11" ht="15.6">
      <c r="A1" s="77" t="s">
        <v>1</v>
      </c>
      <c r="B1" s="76"/>
      <c r="C1" s="76"/>
      <c r="D1" s="76"/>
      <c r="E1" s="76"/>
      <c r="F1" s="76"/>
      <c r="G1" s="76"/>
      <c r="H1" s="76"/>
      <c r="I1" s="87"/>
      <c r="J1" s="93"/>
      <c r="K1" s="93"/>
    </row>
    <row r="2" spans="1:11">
      <c r="B2" s="44" t="s">
        <v>2</v>
      </c>
      <c r="C2" s="78"/>
      <c r="D2" s="78"/>
      <c r="E2" s="78"/>
      <c r="F2" s="78"/>
      <c r="G2" s="78"/>
      <c r="H2" s="78"/>
      <c r="I2" s="88"/>
    </row>
    <row r="4" spans="1:11">
      <c r="B4" s="31" t="s">
        <v>3</v>
      </c>
      <c r="C4" s="32"/>
      <c r="D4" s="32"/>
      <c r="E4" s="32"/>
      <c r="F4" s="32"/>
      <c r="G4" s="32"/>
      <c r="H4" s="32"/>
      <c r="I4" s="94"/>
    </row>
    <row r="5" spans="1:11">
      <c r="B5" s="1" t="s">
        <v>4</v>
      </c>
      <c r="C5" s="3">
        <v>6.5000000000000002E-2</v>
      </c>
      <c r="I5" s="95" t="s">
        <v>381</v>
      </c>
    </row>
    <row r="6" spans="1:11">
      <c r="B6" s="1" t="s">
        <v>5</v>
      </c>
      <c r="C6" s="3">
        <v>0.06</v>
      </c>
      <c r="I6" s="95" t="s">
        <v>382</v>
      </c>
    </row>
    <row r="7" spans="1:11">
      <c r="B7" s="1" t="s">
        <v>6</v>
      </c>
      <c r="C7" s="38" t="s">
        <v>7</v>
      </c>
      <c r="I7" s="95" t="s">
        <v>383</v>
      </c>
    </row>
    <row r="9" spans="1:11">
      <c r="B9" s="31" t="s">
        <v>220</v>
      </c>
      <c r="C9" s="32"/>
      <c r="D9" s="32"/>
      <c r="E9" s="32"/>
      <c r="F9" s="32"/>
      <c r="G9" s="32"/>
      <c r="H9" s="32"/>
      <c r="I9" s="94"/>
    </row>
    <row r="10" spans="1:11">
      <c r="B10" s="1" t="s">
        <v>8</v>
      </c>
      <c r="C10" s="51">
        <v>331</v>
      </c>
      <c r="I10" s="95" t="s">
        <v>9</v>
      </c>
    </row>
    <row r="11" spans="1:11">
      <c r="B11" s="1" t="s">
        <v>10</v>
      </c>
      <c r="C11" s="4">
        <v>368.5</v>
      </c>
      <c r="I11" s="95" t="s">
        <v>11</v>
      </c>
    </row>
    <row r="12" spans="1:11">
      <c r="B12" s="1" t="s">
        <v>12</v>
      </c>
      <c r="C12" s="3">
        <v>0.25</v>
      </c>
    </row>
    <row r="13" spans="1:11">
      <c r="B13" s="1" t="s">
        <v>13</v>
      </c>
      <c r="C13" s="5">
        <v>1.1499999999999999</v>
      </c>
      <c r="I13" s="95" t="s">
        <v>14</v>
      </c>
    </row>
    <row r="14" spans="1:11">
      <c r="B14" s="1" t="s">
        <v>15</v>
      </c>
      <c r="C14" s="3">
        <v>6.5000000000000002E-2</v>
      </c>
      <c r="I14" s="95" t="s">
        <v>384</v>
      </c>
    </row>
    <row r="15" spans="1:11">
      <c r="B15" s="1" t="s">
        <v>16</v>
      </c>
      <c r="C15" s="3">
        <v>0.03</v>
      </c>
      <c r="I15" s="95" t="s">
        <v>221</v>
      </c>
    </row>
    <row r="16" spans="1:11">
      <c r="B16" s="1" t="s">
        <v>17</v>
      </c>
      <c r="C16" s="51">
        <v>22086</v>
      </c>
      <c r="I16" s="95" t="s">
        <v>18</v>
      </c>
    </row>
    <row r="17" spans="2:9">
      <c r="C17" s="52"/>
      <c r="I17" s="95"/>
    </row>
    <row r="18" spans="2:9">
      <c r="B18" s="32"/>
      <c r="C18" s="32"/>
      <c r="D18" s="37" t="s">
        <v>19</v>
      </c>
      <c r="E18" s="37" t="s">
        <v>20</v>
      </c>
      <c r="F18" s="37" t="s">
        <v>21</v>
      </c>
      <c r="G18" s="37" t="s">
        <v>22</v>
      </c>
      <c r="H18" s="37" t="s">
        <v>23</v>
      </c>
    </row>
    <row r="19" spans="2:9" ht="23.4">
      <c r="B19" s="1" t="s">
        <v>24</v>
      </c>
      <c r="D19" s="3">
        <v>0.12</v>
      </c>
      <c r="E19" s="3">
        <v>7.0000000000000007E-2</v>
      </c>
      <c r="F19" s="3">
        <v>0.06</v>
      </c>
      <c r="G19" s="3">
        <v>0.05</v>
      </c>
      <c r="H19" s="3">
        <v>0.05</v>
      </c>
      <c r="I19" s="95" t="s">
        <v>385</v>
      </c>
    </row>
    <row r="20" spans="2:9" ht="23.4">
      <c r="B20" s="1" t="s">
        <v>25</v>
      </c>
      <c r="D20" s="3">
        <v>9.5000000000000001E-2</v>
      </c>
      <c r="E20" s="3">
        <v>0.105</v>
      </c>
      <c r="F20" s="3">
        <v>0.11</v>
      </c>
      <c r="G20" s="3">
        <v>0.115</v>
      </c>
      <c r="H20" s="3">
        <v>0.12</v>
      </c>
      <c r="I20" s="95" t="s">
        <v>386</v>
      </c>
    </row>
    <row r="21" spans="2:9">
      <c r="B21" s="1" t="s">
        <v>222</v>
      </c>
      <c r="D21" s="3">
        <v>0.11</v>
      </c>
      <c r="E21" s="3">
        <v>0.11</v>
      </c>
      <c r="F21" s="3">
        <v>0.11</v>
      </c>
      <c r="G21" s="3">
        <v>0.11</v>
      </c>
      <c r="H21" s="3">
        <v>0.11</v>
      </c>
      <c r="I21" s="95" t="s">
        <v>236</v>
      </c>
    </row>
    <row r="22" spans="2:9">
      <c r="B22" s="1" t="s">
        <v>26</v>
      </c>
      <c r="D22" s="51">
        <v>2500</v>
      </c>
      <c r="E22" s="51">
        <v>2700</v>
      </c>
      <c r="F22" s="51">
        <v>2900</v>
      </c>
      <c r="G22" s="51">
        <v>3100</v>
      </c>
      <c r="H22" s="51">
        <v>3300</v>
      </c>
      <c r="I22" s="95" t="s">
        <v>237</v>
      </c>
    </row>
    <row r="23" spans="2:9">
      <c r="B23" s="1" t="s">
        <v>27</v>
      </c>
      <c r="D23" s="3">
        <v>0.05</v>
      </c>
      <c r="E23" s="3">
        <v>0.05</v>
      </c>
      <c r="F23" s="3">
        <v>0.05</v>
      </c>
      <c r="G23" s="3">
        <v>0.05</v>
      </c>
      <c r="H23" s="3">
        <v>0.05</v>
      </c>
      <c r="I23" s="95" t="s">
        <v>238</v>
      </c>
    </row>
    <row r="24" spans="2:9">
      <c r="B24" s="1" t="s">
        <v>223</v>
      </c>
      <c r="D24" s="3"/>
      <c r="E24" s="3"/>
      <c r="F24" s="3"/>
      <c r="G24" s="3"/>
      <c r="H24" s="3"/>
      <c r="I24" s="95" t="s">
        <v>224</v>
      </c>
    </row>
    <row r="25" spans="2:9">
      <c r="B25" s="1" t="s">
        <v>28</v>
      </c>
      <c r="D25" s="3">
        <v>0.09</v>
      </c>
      <c r="E25" s="3">
        <v>0.09</v>
      </c>
      <c r="F25" s="3">
        <v>0.08</v>
      </c>
      <c r="G25" s="3">
        <v>7.4999999999999997E-2</v>
      </c>
      <c r="H25" s="3">
        <v>7.4999999999999997E-2</v>
      </c>
      <c r="I25" s="95" t="s">
        <v>239</v>
      </c>
    </row>
    <row r="26" spans="2:9">
      <c r="B26" s="1" t="s">
        <v>29</v>
      </c>
      <c r="D26" s="3">
        <v>0.15</v>
      </c>
      <c r="E26" s="3">
        <v>0.15</v>
      </c>
      <c r="F26" s="3">
        <v>0.15</v>
      </c>
      <c r="G26" s="3">
        <v>0.15</v>
      </c>
      <c r="H26" s="3">
        <v>0.15</v>
      </c>
    </row>
    <row r="27" spans="2:9">
      <c r="B27" s="1" t="s">
        <v>30</v>
      </c>
      <c r="D27" s="6">
        <v>14</v>
      </c>
      <c r="E27" s="6">
        <v>14</v>
      </c>
      <c r="F27" s="6">
        <v>14</v>
      </c>
      <c r="G27" s="6">
        <v>14</v>
      </c>
      <c r="H27" s="6">
        <v>14</v>
      </c>
      <c r="I27" s="95" t="s">
        <v>31</v>
      </c>
    </row>
    <row r="28" spans="2:9">
      <c r="B28" s="1" t="s">
        <v>375</v>
      </c>
      <c r="D28" s="101">
        <v>90</v>
      </c>
      <c r="E28" s="101">
        <v>90</v>
      </c>
      <c r="F28" s="101">
        <v>90</v>
      </c>
      <c r="G28" s="101">
        <v>90</v>
      </c>
      <c r="H28" s="101">
        <v>90</v>
      </c>
      <c r="I28" s="95" t="s">
        <v>379</v>
      </c>
    </row>
    <row r="29" spans="2:9">
      <c r="B29" s="1" t="s">
        <v>376</v>
      </c>
      <c r="D29" s="101">
        <v>167.3</v>
      </c>
      <c r="E29" s="101">
        <v>167.3</v>
      </c>
      <c r="F29" s="101">
        <v>167.3</v>
      </c>
      <c r="G29" s="101">
        <v>167.3</v>
      </c>
      <c r="H29" s="101">
        <v>167.3</v>
      </c>
      <c r="I29" s="95" t="s">
        <v>380</v>
      </c>
    </row>
    <row r="30" spans="2:9">
      <c r="B30" s="1" t="s">
        <v>225</v>
      </c>
      <c r="D30" s="3">
        <v>9.7000000000000003E-2</v>
      </c>
      <c r="E30" s="3">
        <v>9.7000000000000003E-2</v>
      </c>
      <c r="F30" s="3">
        <v>9.7000000000000003E-2</v>
      </c>
      <c r="G30" s="3">
        <v>9.7000000000000003E-2</v>
      </c>
      <c r="H30" s="3">
        <v>9.7000000000000003E-2</v>
      </c>
      <c r="I30" s="95" t="s">
        <v>240</v>
      </c>
    </row>
    <row r="31" spans="2:9">
      <c r="B31" s="1" t="s">
        <v>226</v>
      </c>
      <c r="D31" s="40">
        <v>0.127</v>
      </c>
      <c r="E31" s="40">
        <v>0.127</v>
      </c>
      <c r="F31" s="40">
        <v>0.127</v>
      </c>
      <c r="G31" s="40">
        <v>0.127</v>
      </c>
      <c r="H31" s="40">
        <v>0.127</v>
      </c>
      <c r="I31" s="95" t="s">
        <v>227</v>
      </c>
    </row>
    <row r="32" spans="2:9">
      <c r="B32" s="1" t="s">
        <v>228</v>
      </c>
      <c r="C32" s="53">
        <v>15000</v>
      </c>
      <c r="I32" s="95" t="s">
        <v>229</v>
      </c>
    </row>
    <row r="34" spans="2:9">
      <c r="B34" s="28" t="s">
        <v>387</v>
      </c>
    </row>
    <row r="35" spans="2:9">
      <c r="B35" s="1" t="s">
        <v>388</v>
      </c>
      <c r="C35" s="46">
        <v>261000</v>
      </c>
      <c r="D35" s="48">
        <f>C35*(1+D36)</f>
        <v>297540.00000000006</v>
      </c>
      <c r="E35" s="48">
        <f>D35*(1+E36)</f>
        <v>319260.42000000004</v>
      </c>
      <c r="F35" s="48">
        <f>E35*(1+F36)</f>
        <v>338416.04520000005</v>
      </c>
      <c r="G35" s="48">
        <f>F35*(1+G36)</f>
        <v>355336.84746000008</v>
      </c>
      <c r="H35" s="48">
        <f>G35*(1+H36)</f>
        <v>373103.68983300007</v>
      </c>
      <c r="I35" s="95" t="s">
        <v>389</v>
      </c>
    </row>
    <row r="36" spans="2:9">
      <c r="B36" s="1" t="s">
        <v>390</v>
      </c>
      <c r="D36" s="11">
        <v>0.14000000000000001</v>
      </c>
      <c r="E36" s="11">
        <v>7.2999999999999995E-2</v>
      </c>
      <c r="F36" s="11">
        <v>0.06</v>
      </c>
      <c r="G36" s="11">
        <v>0.05</v>
      </c>
      <c r="H36" s="11">
        <v>0.05</v>
      </c>
    </row>
    <row r="37" spans="2:9">
      <c r="B37" s="1" t="s">
        <v>391</v>
      </c>
      <c r="C37" s="50">
        <f>'Income Statement'!C4-C35</f>
        <v>74582</v>
      </c>
      <c r="D37" s="48">
        <f>C37*(1+D38)</f>
        <v>78311.100000000006</v>
      </c>
      <c r="E37" s="48">
        <f>D37*(1+E38)</f>
        <v>83009.766000000003</v>
      </c>
      <c r="F37" s="48">
        <f>E37*(1+F38)</f>
        <v>87990.351960000015</v>
      </c>
      <c r="G37" s="48">
        <f>F37*(1+G38)</f>
        <v>92389.86955800002</v>
      </c>
      <c r="H37" s="48">
        <f>G37*(1+H38)</f>
        <v>97009.363035900024</v>
      </c>
    </row>
    <row r="38" spans="2:9">
      <c r="B38" s="1" t="s">
        <v>392</v>
      </c>
      <c r="D38" s="11">
        <v>0.05</v>
      </c>
      <c r="E38" s="11">
        <v>0.06</v>
      </c>
      <c r="F38" s="11">
        <v>0.06</v>
      </c>
      <c r="G38" s="11">
        <v>0.05</v>
      </c>
      <c r="H38" s="11">
        <v>0.05</v>
      </c>
    </row>
    <row r="39" spans="2:9">
      <c r="B39" s="1" t="s">
        <v>393</v>
      </c>
      <c r="C39" s="48">
        <f t="shared" ref="C39:H39" si="0">C35+C37</f>
        <v>335582</v>
      </c>
      <c r="D39" s="48">
        <f t="shared" si="0"/>
        <v>375851.10000000009</v>
      </c>
      <c r="E39" s="48">
        <f t="shared" si="0"/>
        <v>402270.18600000005</v>
      </c>
      <c r="F39" s="48">
        <f t="shared" si="0"/>
        <v>426406.39716000005</v>
      </c>
      <c r="G39" s="48">
        <f t="shared" si="0"/>
        <v>447726.71701800008</v>
      </c>
      <c r="H39" s="48">
        <f t="shared" si="0"/>
        <v>470113.05286890012</v>
      </c>
    </row>
    <row r="40" spans="2:9">
      <c r="B40" s="1" t="s">
        <v>394</v>
      </c>
      <c r="C40" s="50">
        <f>'Income Statement'!C4</f>
        <v>335582</v>
      </c>
      <c r="D40" s="50">
        <f>'Income Statement'!D4</f>
        <v>375851.84</v>
      </c>
      <c r="E40" s="50">
        <f>'Income Statement'!E4</f>
        <v>402161.46880000003</v>
      </c>
      <c r="F40" s="50">
        <f>'Income Statement'!F4</f>
        <v>426291.15692800004</v>
      </c>
      <c r="G40" s="50">
        <f>'Income Statement'!G4</f>
        <v>447605.71477440005</v>
      </c>
      <c r="H40" s="50">
        <f>'Income Statement'!H4</f>
        <v>469986.00051312009</v>
      </c>
    </row>
    <row r="41" spans="2:9" ht="23.4">
      <c r="B41" s="1" t="s">
        <v>395</v>
      </c>
      <c r="C41" s="102">
        <f t="shared" ref="C41:H41" si="1">(C39-C40)/C40</f>
        <v>0</v>
      </c>
      <c r="D41" s="102">
        <f t="shared" si="1"/>
        <v>-1.9688609211876656E-6</v>
      </c>
      <c r="E41" s="102">
        <f t="shared" si="1"/>
        <v>2.7033221338785223E-4</v>
      </c>
      <c r="F41" s="102">
        <f t="shared" si="1"/>
        <v>2.7033221338784404E-4</v>
      </c>
      <c r="G41" s="102">
        <f t="shared" si="1"/>
        <v>2.7033221338788307E-4</v>
      </c>
      <c r="H41" s="102">
        <f t="shared" si="1"/>
        <v>2.703322133878892E-4</v>
      </c>
      <c r="I41" s="95" t="s">
        <v>396</v>
      </c>
    </row>
  </sheetData>
  <pageMargins left="0.75" right="0.75" top="1" bottom="1" header="0.5" footer="0.5"/>
  <pageSetup scale="65" fitToHeight="0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D440C2-DAF0-405F-B101-407163A6AFA7}">
  <sheetPr>
    <pageSetUpPr fitToPage="1"/>
  </sheetPr>
  <dimension ref="A1:K40"/>
  <sheetViews>
    <sheetView showGridLines="0" zoomScale="110" zoomScaleNormal="110" workbookViewId="0">
      <pane ySplit="2" topLeftCell="A14" activePane="bottomLeft" state="frozenSplit"/>
      <selection pane="bottomLeft" activeCell="M28" sqref="M28"/>
    </sheetView>
  </sheetViews>
  <sheetFormatPr defaultRowHeight="13.8"/>
  <cols>
    <col min="1" max="1" width="5.109375" style="1" customWidth="1"/>
    <col min="2" max="2" width="34.77734375" style="1" customWidth="1"/>
    <col min="3" max="9" width="12.33203125" style="1" customWidth="1"/>
    <col min="10" max="10" width="56.5546875" style="91" customWidth="1"/>
    <col min="11" max="16384" width="8.88671875" style="1"/>
  </cols>
  <sheetData>
    <row r="1" spans="1:11" ht="15.6">
      <c r="A1" s="77" t="s">
        <v>150</v>
      </c>
      <c r="B1" s="76"/>
      <c r="C1" s="76"/>
      <c r="D1" s="76"/>
      <c r="E1" s="76"/>
      <c r="F1" s="76"/>
      <c r="G1" s="76"/>
      <c r="H1" s="76"/>
      <c r="I1" s="76"/>
      <c r="J1" s="87"/>
      <c r="K1" s="93"/>
    </row>
    <row r="2" spans="1:11">
      <c r="B2" s="44" t="s">
        <v>242</v>
      </c>
      <c r="C2" s="78"/>
      <c r="D2" s="78"/>
      <c r="E2" s="78"/>
      <c r="F2" s="78"/>
      <c r="G2" s="78"/>
      <c r="H2" s="78"/>
      <c r="I2" s="78"/>
      <c r="J2" s="88"/>
    </row>
    <row r="3" spans="1:11">
      <c r="B3" s="32"/>
      <c r="C3" s="33" t="s">
        <v>86</v>
      </c>
      <c r="D3" s="33" t="s">
        <v>19</v>
      </c>
      <c r="E3" s="33" t="s">
        <v>20</v>
      </c>
      <c r="F3" s="33" t="s">
        <v>21</v>
      </c>
      <c r="G3" s="33" t="s">
        <v>22</v>
      </c>
      <c r="H3" s="33" t="s">
        <v>23</v>
      </c>
      <c r="I3" s="33" t="s">
        <v>246</v>
      </c>
      <c r="J3" s="89" t="s">
        <v>151</v>
      </c>
    </row>
    <row r="4" spans="1:11" s="30" customFormat="1">
      <c r="B4" s="42"/>
      <c r="C4" s="43"/>
      <c r="D4" s="43"/>
      <c r="E4" s="43"/>
      <c r="F4" s="43"/>
      <c r="G4" s="43"/>
      <c r="H4" s="43"/>
      <c r="I4" s="43"/>
      <c r="J4" s="90"/>
    </row>
    <row r="5" spans="1:11">
      <c r="B5" s="35" t="s">
        <v>152</v>
      </c>
    </row>
    <row r="6" spans="1:11">
      <c r="B6" s="1" t="s">
        <v>25</v>
      </c>
      <c r="C6" s="19">
        <f>'Income Statement'!C6/'Income Statement'!C4</f>
        <v>5.5780703375032034E-2</v>
      </c>
      <c r="D6" s="19">
        <f>'Income Statement'!D6/'Income Statement'!D4</f>
        <v>9.5000000000000001E-2</v>
      </c>
      <c r="E6" s="19">
        <f>'Income Statement'!E6/'Income Statement'!E4</f>
        <v>0.105</v>
      </c>
      <c r="F6" s="19">
        <f>'Income Statement'!F6/'Income Statement'!F4</f>
        <v>0.11</v>
      </c>
      <c r="G6" s="19">
        <f>'Income Statement'!G6/'Income Statement'!G4</f>
        <v>0.115</v>
      </c>
      <c r="H6" s="19">
        <f>'Income Statement'!H6/'Income Statement'!H4</f>
        <v>0.12</v>
      </c>
      <c r="I6" s="19"/>
      <c r="J6" s="92" t="s">
        <v>153</v>
      </c>
    </row>
    <row r="7" spans="1:11">
      <c r="B7" s="1" t="s">
        <v>154</v>
      </c>
      <c r="C7" s="19">
        <f>'Income Statement'!C9/'Income Statement'!C4</f>
        <v>-3.173590955414772E-3</v>
      </c>
      <c r="D7" s="19">
        <f>'Income Statement'!D9/'Income Statement'!D4</f>
        <v>3.4326890085199534E-2</v>
      </c>
      <c r="E7" s="19">
        <f>'Income Statement'!E9/'Income Statement'!E4</f>
        <v>4.5281245024137926E-2</v>
      </c>
      <c r="F7" s="19">
        <f>'Income Statement'!F9/'Income Statement'!F4</f>
        <v>5.0519158558002611E-2</v>
      </c>
      <c r="G7" s="19">
        <f>'Income Statement'!G9/'Income Statement'!G4</f>
        <v>5.6201953444402229E-2</v>
      </c>
      <c r="H7" s="19">
        <f>'Income Statement'!H9/'Income Statement'!H4</f>
        <v>6.2304512919540915E-2</v>
      </c>
      <c r="I7" s="19"/>
      <c r="J7" s="92" t="s">
        <v>155</v>
      </c>
    </row>
    <row r="8" spans="1:11">
      <c r="B8" s="1" t="s">
        <v>156</v>
      </c>
      <c r="C8" s="19">
        <f>'Income Statement'!C14/'Income Statement'!C4</f>
        <v>0.24627363803779703</v>
      </c>
      <c r="D8" s="19">
        <f>'Income Statement'!D14/'Income Statement'!D4</f>
        <v>2.2840864900382021E-2</v>
      </c>
      <c r="E8" s="19">
        <f>'Income Statement'!E14/'Income Statement'!E4</f>
        <v>3.2339868479694188E-2</v>
      </c>
      <c r="F8" s="19">
        <f>'Income Statement'!F14/'Income Statement'!F4</f>
        <v>3.6962468973975544E-2</v>
      </c>
      <c r="G8" s="19">
        <f>'Income Statement'!G14/'Income Statement'!G4</f>
        <v>4.232153180614312E-2</v>
      </c>
      <c r="H8" s="19">
        <f>'Income Statement'!H14/'Income Statement'!H4</f>
        <v>4.8184154469093965E-2</v>
      </c>
      <c r="I8" s="19"/>
      <c r="J8" s="92" t="s">
        <v>157</v>
      </c>
    </row>
    <row r="9" spans="1:11">
      <c r="B9" s="1" t="s">
        <v>158</v>
      </c>
      <c r="C9" s="19">
        <f>'Income Statement'!C14/'Balance Sheet'!C12</f>
        <v>0.73745404575793272</v>
      </c>
      <c r="D9" s="19">
        <f>'Income Statement'!D14/'Balance Sheet'!D12</f>
        <v>7.1920382874128275E-2</v>
      </c>
      <c r="E9" s="19">
        <f>'Income Statement'!E14/'Balance Sheet'!E12</f>
        <v>9.9722783769583101E-2</v>
      </c>
      <c r="F9" s="19">
        <f>'Income Statement'!F14/'Balance Sheet'!F12</f>
        <v>0.10956409738414097</v>
      </c>
      <c r="G9" s="19">
        <f>'Income Statement'!G14/'Balance Sheet'!G12</f>
        <v>0.1184588179389677</v>
      </c>
      <c r="H9" s="19">
        <f>'Income Statement'!H14/'Balance Sheet'!H12</f>
        <v>0.12639737729045084</v>
      </c>
      <c r="I9" s="19"/>
      <c r="J9" s="92" t="s">
        <v>159</v>
      </c>
    </row>
    <row r="10" spans="1:11">
      <c r="B10" s="1" t="s">
        <v>160</v>
      </c>
      <c r="C10" s="19">
        <f>'Income Statement'!C9/('Balance Sheet'!C12+'Balance Sheet'!C13)</f>
        <v>-5.5707538040663885E-3</v>
      </c>
      <c r="D10" s="19">
        <f>'Income Statement'!D9/('Balance Sheet'!D12+'Balance Sheet'!D13)</f>
        <v>6.7637399778553334E-2</v>
      </c>
      <c r="E10" s="19">
        <f>'Income Statement'!E9/('Balance Sheet'!E12+'Balance Sheet'!E13)</f>
        <v>9.1529269577912978E-2</v>
      </c>
      <c r="F10" s="19">
        <f>'Income Statement'!F9/('Balance Sheet'!F12+'Balance Sheet'!F13)</f>
        <v>0.10568022586394536</v>
      </c>
      <c r="G10" s="19">
        <f>'Income Statement'!G9/('Balance Sheet'!G12+'Balance Sheet'!G13)</f>
        <v>0.12113598580436717</v>
      </c>
      <c r="H10" s="19">
        <f>'Income Statement'!H9/('Balance Sheet'!H12+'Balance Sheet'!H13)</f>
        <v>0.13793320814324744</v>
      </c>
      <c r="I10" s="19"/>
      <c r="J10" s="92" t="s">
        <v>161</v>
      </c>
    </row>
    <row r="11" spans="1:11">
      <c r="B11" s="1" t="s">
        <v>162</v>
      </c>
      <c r="C11" s="19">
        <f>'Income Statement'!C14/'Balance Sheet'!C9</f>
        <v>0.21795199755267161</v>
      </c>
      <c r="D11" s="19">
        <f>'Income Statement'!D14/'Balance Sheet'!D9</f>
        <v>2.1767181718728459E-2</v>
      </c>
      <c r="E11" s="19">
        <f>'Income Statement'!E14/'Balance Sheet'!E9</f>
        <v>3.1338675872910962E-2</v>
      </c>
      <c r="F11" s="19">
        <f>'Income Statement'!F14/'Balance Sheet'!F9</f>
        <v>3.6489026173160813E-2</v>
      </c>
      <c r="G11" s="19">
        <f>'Income Statement'!G14/'Balance Sheet'!G9</f>
        <v>4.2465799121682503E-2</v>
      </c>
      <c r="H11" s="19">
        <f>'Income Statement'!H14/'Balance Sheet'!H9</f>
        <v>4.9064667772429328E-2</v>
      </c>
      <c r="I11" s="19"/>
      <c r="J11" s="92" t="s">
        <v>163</v>
      </c>
    </row>
    <row r="12" spans="1:11">
      <c r="C12" s="19"/>
      <c r="D12" s="19"/>
      <c r="E12" s="19"/>
      <c r="F12" s="19"/>
      <c r="G12" s="19"/>
      <c r="H12" s="19"/>
      <c r="I12" s="19"/>
      <c r="J12" s="92"/>
    </row>
    <row r="13" spans="1:11">
      <c r="B13" s="16" t="s">
        <v>164</v>
      </c>
    </row>
    <row r="14" spans="1:11">
      <c r="B14" s="1" t="s">
        <v>165</v>
      </c>
      <c r="C14" s="24">
        <f>'Balance Sheet'!C13/'Balance Sheet'!C12</f>
        <v>0.70590177392297537</v>
      </c>
      <c r="D14" s="24">
        <f>'Balance Sheet'!D13/'Balance Sheet'!D12</f>
        <v>0.59803762991938303</v>
      </c>
      <c r="E14" s="24">
        <f>'Balance Sheet'!E13/'Balance Sheet'!E12</f>
        <v>0.52550806078966805</v>
      </c>
      <c r="F14" s="24">
        <f>'Balance Sheet'!F13/'Balance Sheet'!F12</f>
        <v>0.41699940487137283</v>
      </c>
      <c r="G14" s="24">
        <f>'Balance Sheet'!G13/'Balance Sheet'!G12</f>
        <v>0.29862646491561201</v>
      </c>
      <c r="H14" s="24">
        <f>'Balance Sheet'!H13/'Balance Sheet'!H12</f>
        <v>0.18490760764516434</v>
      </c>
      <c r="I14" s="24"/>
      <c r="J14" s="92" t="s">
        <v>166</v>
      </c>
    </row>
    <row r="15" spans="1:11" ht="23.4">
      <c r="B15" s="1" t="s">
        <v>167</v>
      </c>
      <c r="C15" s="50">
        <f>'Balance Sheet'!C13-'Balance Sheet'!C8-'Balance Sheet'!C5</f>
        <v>30710</v>
      </c>
      <c r="D15" s="50">
        <f>'Balance Sheet'!D13-'Balance Sheet'!D8-'Balance Sheet'!D5</f>
        <v>30071.799930863024</v>
      </c>
      <c r="E15" s="50">
        <f>'Balance Sheet'!E13-'Balance Sheet'!E8-'Balance Sheet'!E5</f>
        <v>27223.779992231022</v>
      </c>
      <c r="F15" s="50">
        <f>'Balance Sheet'!F13-'Balance Sheet'!F8-'Balance Sheet'!F5</f>
        <v>18657.057679019024</v>
      </c>
      <c r="G15" s="50">
        <f>'Balance Sheet'!G13-'Balance Sheet'!G8-'Balance Sheet'!G5</f>
        <v>6441.8955651715878</v>
      </c>
      <c r="H15" s="50">
        <f>'Balance Sheet'!H13-'Balance Sheet'!H8-'Balance Sheet'!H5</f>
        <v>-8184.1865509736454</v>
      </c>
      <c r="I15" s="24"/>
      <c r="J15" s="92" t="s">
        <v>168</v>
      </c>
    </row>
    <row r="16" spans="1:11" ht="23.4">
      <c r="B16" s="1" t="s">
        <v>169</v>
      </c>
      <c r="C16" s="24">
        <f>('Balance Sheet'!C13-'Balance Sheet'!C8-'Balance Sheet'!C5)/'Income Statement'!C6</f>
        <v>1.6405790907633955</v>
      </c>
      <c r="D16" s="24">
        <f>('Balance Sheet'!D13-'Balance Sheet'!D8-'Balance Sheet'!D5)/'Income Statement'!D6</f>
        <v>0.842207563571159</v>
      </c>
      <c r="E16" s="24">
        <f>('Balance Sheet'!E13-'Balance Sheet'!E8-'Balance Sheet'!E5)/'Income Statement'!E6</f>
        <v>0.64470148256059123</v>
      </c>
      <c r="F16" s="24">
        <f>('Balance Sheet'!F13-'Balance Sheet'!F8-'Balance Sheet'!F5)/'Income Statement'!F6</f>
        <v>0.39787270391925145</v>
      </c>
      <c r="G16" s="24">
        <f>('Balance Sheet'!G13-'Balance Sheet'!G8-'Balance Sheet'!G5)/'Income Statement'!G6</f>
        <v>0.12514693473839639</v>
      </c>
      <c r="H16" s="24">
        <f>('Balance Sheet'!H13-'Balance Sheet'!H8-'Balance Sheet'!H5)/'Income Statement'!H6</f>
        <v>-0.1451140130067409</v>
      </c>
      <c r="I16" s="24"/>
      <c r="J16" s="92" t="s">
        <v>170</v>
      </c>
    </row>
    <row r="17" spans="2:10">
      <c r="B17" s="1" t="s">
        <v>171</v>
      </c>
      <c r="C17" s="24">
        <f>'Income Statement'!C9/'Income Statement'!C11</f>
        <v>-0.37672444287230278</v>
      </c>
      <c r="D17" s="24">
        <f>'Income Statement'!D9/'Income Statement'!D11</f>
        <v>3.2617843228962573</v>
      </c>
      <c r="E17" s="24">
        <f>'Income Statement'!E9/'Income Statement'!E11</f>
        <v>5.1020306915861502</v>
      </c>
      <c r="F17" s="24">
        <f>'Income Statement'!F9/'Income Statement'!F11</f>
        <v>6.2844710682822278</v>
      </c>
      <c r="G17" s="24">
        <f>'Income Statement'!G9/'Income Statement'!G11</f>
        <v>8.3896252619414575</v>
      </c>
      <c r="H17" s="24">
        <f>'Income Statement'!H9/'Income Statement'!H11</f>
        <v>12.263558948008281</v>
      </c>
      <c r="I17" s="24"/>
      <c r="J17" s="92" t="s">
        <v>172</v>
      </c>
    </row>
    <row r="18" spans="2:10">
      <c r="C18" s="24"/>
      <c r="D18" s="24"/>
      <c r="E18" s="24"/>
      <c r="F18" s="24"/>
      <c r="G18" s="24"/>
      <c r="H18" s="24"/>
      <c r="I18" s="24"/>
      <c r="J18" s="92"/>
    </row>
    <row r="19" spans="2:10">
      <c r="B19" s="16" t="s">
        <v>173</v>
      </c>
    </row>
    <row r="20" spans="2:10">
      <c r="B20" s="1" t="s">
        <v>174</v>
      </c>
      <c r="C20" s="27">
        <f>'Balance Sheet'!C6/'Income Statement'!C4*365</f>
        <v>14.000393346484616</v>
      </c>
      <c r="D20" s="27">
        <f>'Balance Sheet'!D6/'Income Statement'!D4*365</f>
        <v>14</v>
      </c>
      <c r="E20" s="27">
        <f>'Balance Sheet'!E6/'Income Statement'!E4*365</f>
        <v>14</v>
      </c>
      <c r="F20" s="27">
        <f>'Balance Sheet'!F6/'Income Statement'!F4*365</f>
        <v>14</v>
      </c>
      <c r="G20" s="27">
        <f>'Balance Sheet'!G6/'Income Statement'!G4*365</f>
        <v>14</v>
      </c>
      <c r="H20" s="27">
        <f>'Balance Sheet'!H6/'Income Statement'!H4*365</f>
        <v>14</v>
      </c>
      <c r="I20" s="27"/>
      <c r="J20" s="92" t="s">
        <v>175</v>
      </c>
    </row>
    <row r="21" spans="2:10">
      <c r="B21" s="1" t="s">
        <v>176</v>
      </c>
      <c r="C21" s="24">
        <f>'Income Statement'!C4/'Balance Sheet'!C4</f>
        <v>1.6187448748251412</v>
      </c>
      <c r="D21" s="24">
        <f>'Income Statement'!D4/'Balance Sheet'!D4</f>
        <v>1.7214648624089637</v>
      </c>
      <c r="E21" s="24">
        <f>'Income Statement'!E4/'Balance Sheet'!E4</f>
        <v>1.7446556301133527</v>
      </c>
      <c r="F21" s="24">
        <f>'Income Statement'!F4/'Balance Sheet'!F4</f>
        <v>1.781724239135136</v>
      </c>
      <c r="G21" s="24">
        <f>'Income Statement'!G4/'Balance Sheet'!G4</f>
        <v>1.8157729497249819</v>
      </c>
      <c r="H21" s="24">
        <f>'Income Statement'!H4/'Balance Sheet'!H4</f>
        <v>1.8456690624099501</v>
      </c>
      <c r="I21" s="27"/>
      <c r="J21" s="92" t="s">
        <v>177</v>
      </c>
    </row>
    <row r="22" spans="2:10">
      <c r="B22" s="1" t="s">
        <v>178</v>
      </c>
      <c r="C22" s="24">
        <f>'Income Statement'!C4/'Balance Sheet'!C9</f>
        <v>0.88499930114006475</v>
      </c>
      <c r="D22" s="24">
        <f>'Income Statement'!D4/'Balance Sheet'!D9</f>
        <v>0.95299288418646511</v>
      </c>
      <c r="E22" s="24">
        <f>'Income Statement'!E4/'Balance Sheet'!E9</f>
        <v>0.969041537462904</v>
      </c>
      <c r="F22" s="24">
        <f>'Income Statement'!F4/'Balance Sheet'!F9</f>
        <v>0.98719125605088576</v>
      </c>
      <c r="G22" s="24">
        <f>'Income Statement'!G4/'Balance Sheet'!G9</f>
        <v>1.003408839646925</v>
      </c>
      <c r="H22" s="24">
        <f>'Income Statement'!H4/'Balance Sheet'!H9</f>
        <v>1.018273918325165</v>
      </c>
      <c r="I22" s="27"/>
      <c r="J22" s="92" t="s">
        <v>179</v>
      </c>
    </row>
    <row r="23" spans="2:10">
      <c r="B23" s="1" t="s">
        <v>180</v>
      </c>
      <c r="C23" s="27">
        <f>('Balance Sheet'!C6+'Balance Sheet'!C7-'Balance Sheet'!C14)/'Income Statement'!C4*365</f>
        <v>-70.189044704423949</v>
      </c>
      <c r="D23" s="27">
        <f>('Balance Sheet'!D6+'Balance Sheet'!D7-'Balance Sheet'!D14)/'Income Statement'!D4*365</f>
        <v>-66.90649999999998</v>
      </c>
      <c r="E23" s="27">
        <f>('Balance Sheet'!E6+'Balance Sheet'!E7-'Balance Sheet'!E14)/'Income Statement'!E4*365</f>
        <v>-66.133500000000012</v>
      </c>
      <c r="F23" s="27">
        <f>('Balance Sheet'!F6+'Balance Sheet'!F7-'Balance Sheet'!F14)/'Income Statement'!F4*365</f>
        <v>-65.747000000000014</v>
      </c>
      <c r="G23" s="27">
        <f>('Balance Sheet'!G6+'Balance Sheet'!G7-'Balance Sheet'!G14)/'Income Statement'!G4*365</f>
        <v>-65.360500000000002</v>
      </c>
      <c r="H23" s="27">
        <f>('Balance Sheet'!H6+'Balance Sheet'!H7-'Balance Sheet'!H14)/'Income Statement'!H4*365</f>
        <v>-64.974000000000046</v>
      </c>
      <c r="I23" s="27"/>
      <c r="J23" s="92" t="s">
        <v>181</v>
      </c>
    </row>
    <row r="24" spans="2:10">
      <c r="C24" s="27"/>
      <c r="D24" s="27"/>
      <c r="E24" s="27"/>
      <c r="F24" s="27"/>
      <c r="G24" s="27"/>
      <c r="H24" s="27"/>
      <c r="I24" s="27"/>
      <c r="J24" s="92"/>
    </row>
    <row r="25" spans="2:10">
      <c r="C25" s="27"/>
      <c r="D25" s="27"/>
      <c r="E25" s="27"/>
      <c r="F25" s="27"/>
      <c r="G25" s="27"/>
      <c r="H25" s="27"/>
      <c r="I25" s="27"/>
      <c r="J25" s="92"/>
    </row>
    <row r="26" spans="2:10">
      <c r="B26" s="16" t="s">
        <v>182</v>
      </c>
    </row>
    <row r="27" spans="2:10">
      <c r="B27" s="1" t="s">
        <v>57</v>
      </c>
      <c r="C27" s="18">
        <f>'Income Statement'!C15</f>
        <v>224.27408412483038</v>
      </c>
      <c r="D27" s="18">
        <f>'Income Statement'!D15</f>
        <v>23.296556580732702</v>
      </c>
      <c r="E27" s="18">
        <f>'Income Statement'!E15</f>
        <v>35.294027160359946</v>
      </c>
      <c r="F27" s="18">
        <f>'Income Statement'!F15</f>
        <v>42.759222962907302</v>
      </c>
      <c r="G27" s="18">
        <f>'Income Statement'!G15</f>
        <v>51.406674340396734</v>
      </c>
      <c r="H27" s="18">
        <f>'Income Statement'!H15</f>
        <v>61.454214510273687</v>
      </c>
      <c r="I27" s="18"/>
      <c r="J27" s="92" t="s">
        <v>183</v>
      </c>
    </row>
    <row r="28" spans="2:10">
      <c r="B28" s="1" t="s">
        <v>184</v>
      </c>
      <c r="C28" s="50">
        <f>'Balance Sheet'!C12/Assumptions!$C$11</f>
        <v>304.1194029850746</v>
      </c>
      <c r="D28" s="50">
        <f>'Balance Sheet'!D12/Assumptions!$C$11</f>
        <v>323.92147607869742</v>
      </c>
      <c r="E28" s="50">
        <f>'Balance Sheet'!E12/Assumptions!$C$11</f>
        <v>353.92139916500338</v>
      </c>
      <c r="F28" s="50">
        <f>'Balance Sheet'!F12/Assumptions!$C$11</f>
        <v>390.26673868347456</v>
      </c>
      <c r="G28" s="50">
        <f>'Balance Sheet'!G12/Assumptions!$C$11</f>
        <v>433.96241187281191</v>
      </c>
      <c r="H28" s="50">
        <f>'Balance Sheet'!H12/Assumptions!$C$11</f>
        <v>486.19849420654452</v>
      </c>
      <c r="I28" s="18"/>
      <c r="J28" s="92" t="s">
        <v>185</v>
      </c>
    </row>
    <row r="29" spans="2:10">
      <c r="B29" s="1" t="s">
        <v>186</v>
      </c>
      <c r="C29" s="18">
        <f>'Income Statement'!C16/Assumptions!$C$11</f>
        <v>2.9986431478968791</v>
      </c>
      <c r="D29" s="18">
        <f>'Income Statement'!D16/Assumptions!$C$11</f>
        <v>3.4944834871099051</v>
      </c>
      <c r="E29" s="18">
        <f>'Income Statement'!E16/Assumptions!$C$11</f>
        <v>5.2941040740539904</v>
      </c>
      <c r="F29" s="18">
        <f>'Income Statement'!F16/Assumptions!$C$11</f>
        <v>6.4138834444360944</v>
      </c>
      <c r="G29" s="18">
        <f>'Income Statement'!G16/Assumptions!$C$11</f>
        <v>7.7110011510595102</v>
      </c>
      <c r="H29" s="18">
        <f>'Income Statement'!H16/Assumptions!$C$11</f>
        <v>9.2181321765410527</v>
      </c>
      <c r="I29" s="18"/>
    </row>
    <row r="30" spans="2:10">
      <c r="B30" s="1" t="s">
        <v>187</v>
      </c>
      <c r="C30" s="19">
        <f>'Income Statement'!C16/'Income Statement'!C14</f>
        <v>1.3370439833020751E-2</v>
      </c>
      <c r="D30" s="19">
        <f>'Income Statement'!D16/'Income Statement'!D14</f>
        <v>0.15</v>
      </c>
      <c r="E30" s="19">
        <f>'Income Statement'!E16/'Income Statement'!E14</f>
        <v>0.15</v>
      </c>
      <c r="F30" s="19">
        <f>'Income Statement'!F16/'Income Statement'!F14</f>
        <v>0.15</v>
      </c>
      <c r="G30" s="19">
        <f>'Income Statement'!G16/'Income Statement'!G14</f>
        <v>0.15</v>
      </c>
      <c r="H30" s="19">
        <f>'Income Statement'!H16/'Income Statement'!H14</f>
        <v>0.15</v>
      </c>
      <c r="I30" s="18"/>
      <c r="J30" s="92" t="s">
        <v>188</v>
      </c>
    </row>
    <row r="31" spans="2:10">
      <c r="B31" s="1" t="s">
        <v>189</v>
      </c>
      <c r="C31" s="24">
        <f>Assumptions!$C$10/'Income Statement'!C15</f>
        <v>1.4758727085728116</v>
      </c>
      <c r="D31" s="24">
        <f>Assumptions!$C$10/'Income Statement'!D15</f>
        <v>14.208108346524991</v>
      </c>
      <c r="E31" s="24">
        <f>Assumptions!$C$10/'Income Statement'!E15</f>
        <v>9.3783573774703335</v>
      </c>
      <c r="F31" s="24">
        <f>Assumptions!$C$10/'Income Statement'!F15</f>
        <v>7.7410199967182596</v>
      </c>
      <c r="G31" s="24">
        <f>Assumptions!$C$10/'Income Statement'!G15</f>
        <v>6.4388526246268256</v>
      </c>
      <c r="H31" s="24">
        <f>Assumptions!$C$10/'Income Statement'!H15</f>
        <v>5.3861236798440348</v>
      </c>
      <c r="I31" s="18"/>
      <c r="J31" s="92" t="s">
        <v>190</v>
      </c>
    </row>
    <row r="32" spans="2:10">
      <c r="B32" s="1" t="s">
        <v>191</v>
      </c>
      <c r="C32" s="24">
        <f>Assumptions!$C$10/('Balance Sheet'!C12/Assumptions!$C$11)</f>
        <v>1.0883882999607382</v>
      </c>
      <c r="D32" s="24">
        <f>Assumptions!$C$10/('Balance Sheet'!D12/Assumptions!$C$11)</f>
        <v>1.021852592199175</v>
      </c>
      <c r="E32" s="24">
        <f>Assumptions!$C$10/('Balance Sheet'!E12/Assumptions!$C$11)</f>
        <v>0.93523590486734853</v>
      </c>
      <c r="F32" s="24">
        <f>Assumptions!$C$10/('Balance Sheet'!F12/Assumptions!$C$11)</f>
        <v>0.848137868773022</v>
      </c>
      <c r="G32" s="24">
        <f>Assumptions!$C$10/('Balance Sheet'!G12/Assumptions!$C$11)</f>
        <v>0.76273887079651337</v>
      </c>
      <c r="H32" s="24">
        <f>Assumptions!$C$10/('Balance Sheet'!H12/Assumptions!$C$11)</f>
        <v>0.68079190689427793</v>
      </c>
      <c r="I32" s="18"/>
      <c r="J32" s="92" t="s">
        <v>192</v>
      </c>
    </row>
    <row r="33" spans="2:10">
      <c r="B33" s="1" t="s">
        <v>193</v>
      </c>
      <c r="C33" s="24">
        <f>(Assumptions!$C$10*Assumptions!$C$11+'Balance Sheet'!C13-'Balance Sheet'!C8-'Balance Sheet'!C5)/'Income Statement'!C6</f>
        <v>8.1566055879053376</v>
      </c>
      <c r="D33" s="24">
        <f>(Assumptions!$C$10*Assumptions!$C$11+'Balance Sheet'!D13-'Balance Sheet'!D8-'Balance Sheet'!D5)/'Income Statement'!D6</f>
        <v>4.258265281812923</v>
      </c>
      <c r="E33" s="24">
        <f>(Assumptions!$C$10*Assumptions!$C$11+'Balance Sheet'!E13-'Balance Sheet'!E8-'Balance Sheet'!E5)/'Income Statement'!E6</f>
        <v>3.533223807731642</v>
      </c>
      <c r="F33" s="24">
        <f>(Assumptions!$C$10*Assumptions!$C$11+'Balance Sheet'!F13-'Balance Sheet'!F8-'Balance Sheet'!F5)/'Income Statement'!F6</f>
        <v>2.9990291716976416</v>
      </c>
      <c r="G33" s="24">
        <f>(Assumptions!$C$10*Assumptions!$C$11+'Balance Sheet'!G13-'Balance Sheet'!G8-'Balance Sheet'!G5)/'Income Statement'!G6</f>
        <v>2.4947304664619812</v>
      </c>
      <c r="H33" s="24">
        <f>(Assumptions!$C$10*Assumptions!$C$11+'Balance Sheet'!H13-'Balance Sheet'!H8-'Balance Sheet'!H5)/'Income Statement'!H6</f>
        <v>2.0176011151536741</v>
      </c>
      <c r="I33" s="18"/>
      <c r="J33" s="92" t="s">
        <v>194</v>
      </c>
    </row>
    <row r="34" spans="2:10">
      <c r="C34" s="24"/>
      <c r="D34" s="24"/>
      <c r="E34" s="24"/>
      <c r="F34" s="24"/>
      <c r="G34" s="24"/>
      <c r="H34" s="24"/>
      <c r="I34" s="24"/>
      <c r="J34" s="92"/>
    </row>
    <row r="35" spans="2:10">
      <c r="C35" s="24"/>
      <c r="D35" s="24"/>
      <c r="E35" s="24"/>
      <c r="F35" s="24"/>
      <c r="G35" s="24"/>
      <c r="H35" s="24"/>
      <c r="I35" s="24"/>
      <c r="J35" s="92"/>
    </row>
    <row r="36" spans="2:10">
      <c r="B36" s="16" t="s">
        <v>195</v>
      </c>
    </row>
    <row r="37" spans="2:10">
      <c r="B37" s="1" t="s">
        <v>24</v>
      </c>
      <c r="C37" s="25" t="s">
        <v>196</v>
      </c>
      <c r="D37" s="19">
        <f>'Income Statement'!D5</f>
        <v>0.12000000000000011</v>
      </c>
      <c r="E37" s="19">
        <f>'Income Statement'!E5</f>
        <v>7.0000000000000062E-2</v>
      </c>
      <c r="F37" s="19">
        <f>'Income Statement'!F5</f>
        <v>6.0000000000000053E-2</v>
      </c>
      <c r="G37" s="19">
        <f>'Income Statement'!G5</f>
        <v>5.0000000000000044E-2</v>
      </c>
      <c r="H37" s="19">
        <f>'Income Statement'!H5</f>
        <v>5.0000000000000044E-2</v>
      </c>
      <c r="I37" s="19"/>
    </row>
    <row r="38" spans="2:10">
      <c r="B38" s="1" t="s">
        <v>197</v>
      </c>
      <c r="C38" s="26" t="s">
        <v>196</v>
      </c>
      <c r="D38" s="19">
        <f>'Income Statement'!D14/'Income Statement'!C14-1</f>
        <v>-0.89612461612922745</v>
      </c>
      <c r="E38" s="19">
        <f>'Income Statement'!E14/'Income Statement'!D14-1</f>
        <v>0.51498900869966713</v>
      </c>
      <c r="F38" s="19">
        <f>'Income Statement'!F14/'Income Statement'!E14-1</f>
        <v>0.2115144233506967</v>
      </c>
      <c r="G38" s="19">
        <f>'Income Statement'!G14/'Income Statement'!F14-1</f>
        <v>0.20223593363684156</v>
      </c>
      <c r="H38" s="19">
        <f>'Income Statement'!H14/'Income Statement'!G14-1</f>
        <v>0.195452055570561</v>
      </c>
      <c r="I38" s="19"/>
      <c r="J38" s="92" t="s">
        <v>198</v>
      </c>
    </row>
    <row r="40" spans="2:10">
      <c r="B40" s="44" t="s">
        <v>199</v>
      </c>
    </row>
  </sheetData>
  <pageMargins left="0.7" right="0.7" top="0.75" bottom="0.75" header="0.3" footer="0.3"/>
  <pageSetup scale="61" fitToHeight="0" orientation="landscape"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span" xr2:uid="{F0C86BCC-8523-47C6-85FE-E3BDB296001C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Analysis'!C6:H6</xm:f>
              <xm:sqref>I6</xm:sqref>
            </x14:sparkline>
            <x14:sparkline>
              <xm:f>'Ratio Analysis'!C7:H7</xm:f>
              <xm:sqref>I7</xm:sqref>
            </x14:sparkline>
            <x14:sparkline>
              <xm:f>'Ratio Analysis'!C8:H8</xm:f>
              <xm:sqref>I8</xm:sqref>
            </x14:sparkline>
            <x14:sparkline>
              <xm:f>'Ratio Analysis'!C9:H9</xm:f>
              <xm:sqref>I9</xm:sqref>
            </x14:sparkline>
            <x14:sparkline>
              <xm:f>'Ratio Analysis'!C10:H10</xm:f>
              <xm:sqref>I10</xm:sqref>
            </x14:sparkline>
            <x14:sparkline>
              <xm:f>'Ratio Analysis'!C11:H11</xm:f>
              <xm:sqref>I11</xm:sqref>
            </x14:sparkline>
          </x14:sparklines>
        </x14:sparklineGroup>
        <x14:sparklineGroup displayEmptyCellsAs="span" xr2:uid="{503193A9-F8FB-42DC-89A8-02EEC73552CA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Analysis'!C14:H14</xm:f>
              <xm:sqref>I14</xm:sqref>
            </x14:sparkline>
            <x14:sparkline>
              <xm:f>'Ratio Analysis'!C15:H15</xm:f>
              <xm:sqref>I15</xm:sqref>
            </x14:sparkline>
            <x14:sparkline>
              <xm:f>'Ratio Analysis'!C16:H16</xm:f>
              <xm:sqref>I16</xm:sqref>
            </x14:sparkline>
            <x14:sparkline>
              <xm:f>'Ratio Analysis'!C17:H17</xm:f>
              <xm:sqref>I17</xm:sqref>
            </x14:sparkline>
          </x14:sparklines>
        </x14:sparklineGroup>
        <x14:sparklineGroup displayEmptyCellsAs="span" xr2:uid="{279C2B46-4F0D-4133-91D4-1435FFE95E9B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Analysis'!C20:H20</xm:f>
              <xm:sqref>I20</xm:sqref>
            </x14:sparkline>
            <x14:sparkline>
              <xm:f>'Ratio Analysis'!C21:H21</xm:f>
              <xm:sqref>I21</xm:sqref>
            </x14:sparkline>
            <x14:sparkline>
              <xm:f>'Ratio Analysis'!C22:H22</xm:f>
              <xm:sqref>I22</xm:sqref>
            </x14:sparkline>
            <x14:sparkline>
              <xm:f>'Ratio Analysis'!C23:H23</xm:f>
              <xm:sqref>I23</xm:sqref>
            </x14:sparkline>
          </x14:sparklines>
        </x14:sparklineGroup>
        <x14:sparklineGroup displayEmptyCellsAs="span" xr2:uid="{1F0AD740-C717-4EC6-94FE-AFD3AB14D56D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Analysis'!C27:H27</xm:f>
              <xm:sqref>I27</xm:sqref>
            </x14:sparkline>
            <x14:sparkline>
              <xm:f>'Ratio Analysis'!C28:H28</xm:f>
              <xm:sqref>I28</xm:sqref>
            </x14:sparkline>
            <x14:sparkline>
              <xm:f>'Ratio Analysis'!C29:H29</xm:f>
              <xm:sqref>I29</xm:sqref>
            </x14:sparkline>
            <x14:sparkline>
              <xm:f>'Ratio Analysis'!C30:H30</xm:f>
              <xm:sqref>I30</xm:sqref>
            </x14:sparkline>
            <x14:sparkline>
              <xm:f>'Ratio Analysis'!C31:H31</xm:f>
              <xm:sqref>I31</xm:sqref>
            </x14:sparkline>
            <x14:sparkline>
              <xm:f>'Ratio Analysis'!C32:H32</xm:f>
              <xm:sqref>I32</xm:sqref>
            </x14:sparkline>
            <x14:sparkline>
              <xm:f>'Ratio Analysis'!C33:H33</xm:f>
              <xm:sqref>I33</xm:sqref>
            </x14:sparkline>
          </x14:sparklines>
        </x14:sparklineGroup>
        <x14:sparklineGroup displayEmptyCellsAs="span" xr2:uid="{067E710B-2696-4D23-8D0F-6F2FFC309E3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'Ratio Analysis'!D37:H37</xm:f>
              <xm:sqref>I37</xm:sqref>
            </x14:sparkline>
            <x14:sparkline>
              <xm:f>'Ratio Analysis'!D38:H38</xm:f>
              <xm:sqref>I38</xm:sqref>
            </x14:sparkline>
          </x14:sparklines>
        </x14:sparklineGroup>
      </x14:sparklineGroup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B6093F-CC5F-4AAF-A3F3-8105470D88CC}">
  <dimension ref="A1:K25"/>
  <sheetViews>
    <sheetView showGridLines="0" zoomScale="110" zoomScaleNormal="110" workbookViewId="0">
      <pane ySplit="2" topLeftCell="A3" activePane="bottomLeft" state="frozenSplit"/>
      <selection pane="bottomLeft" activeCell="J25" sqref="J25"/>
    </sheetView>
  </sheetViews>
  <sheetFormatPr defaultRowHeight="13.8"/>
  <cols>
    <col min="1" max="1" width="5.109375" style="1" customWidth="1"/>
    <col min="2" max="2" width="38.77734375" style="1" customWidth="1"/>
    <col min="3" max="8" width="13.33203125" style="1" customWidth="1"/>
    <col min="9" max="16384" width="8.88671875" style="1"/>
  </cols>
  <sheetData>
    <row r="1" spans="1:11" ht="15.6">
      <c r="A1" s="77" t="s">
        <v>209</v>
      </c>
      <c r="B1" s="76"/>
      <c r="C1" s="76"/>
      <c r="D1" s="76"/>
      <c r="E1" s="76"/>
      <c r="F1" s="76"/>
      <c r="G1" s="76"/>
      <c r="H1" s="76"/>
      <c r="I1" s="76"/>
      <c r="J1" s="76"/>
      <c r="K1" s="76"/>
    </row>
    <row r="2" spans="1:11">
      <c r="B2" s="44" t="s">
        <v>242</v>
      </c>
    </row>
    <row r="3" spans="1:11">
      <c r="C3" s="54" t="s">
        <v>86</v>
      </c>
      <c r="D3" s="54" t="s">
        <v>19</v>
      </c>
      <c r="E3" s="54" t="s">
        <v>20</v>
      </c>
      <c r="F3" s="54" t="s">
        <v>21</v>
      </c>
      <c r="G3" s="54" t="s">
        <v>22</v>
      </c>
      <c r="H3" s="54" t="s">
        <v>23</v>
      </c>
    </row>
    <row r="4" spans="1:11" ht="14.4">
      <c r="B4" s="2" t="s">
        <v>201</v>
      </c>
      <c r="C4"/>
      <c r="D4"/>
      <c r="E4"/>
      <c r="F4"/>
      <c r="G4"/>
      <c r="H4"/>
      <c r="I4"/>
    </row>
    <row r="5" spans="1:11" ht="14.4">
      <c r="B5" s="1" t="s">
        <v>88</v>
      </c>
      <c r="C5" s="50">
        <f>'Income Statement'!C4</f>
        <v>335582</v>
      </c>
      <c r="D5" s="50">
        <f>'Income Statement'!D4</f>
        <v>375851.84</v>
      </c>
      <c r="E5" s="50">
        <f>'Income Statement'!E4</f>
        <v>402161.46880000003</v>
      </c>
      <c r="F5" s="50">
        <f>'Income Statement'!F4</f>
        <v>426291.15692800004</v>
      </c>
      <c r="G5" s="50">
        <f>'Income Statement'!G4</f>
        <v>447605.71477440005</v>
      </c>
      <c r="H5" s="50">
        <f>'Income Statement'!H4</f>
        <v>469986.00051312009</v>
      </c>
      <c r="I5"/>
    </row>
    <row r="6" spans="1:11" ht="14.4">
      <c r="B6" s="1" t="s">
        <v>374</v>
      </c>
      <c r="C6" s="50">
        <f>'Income Statement'!C4-'Income Statement'!C6</f>
        <v>316863</v>
      </c>
      <c r="D6" s="50">
        <f>'Income Statement'!D4-'Income Statement'!D6</f>
        <v>340145.91520000005</v>
      </c>
      <c r="E6" s="50">
        <f>'Income Statement'!E4-'Income Statement'!E6</f>
        <v>359934.51457600005</v>
      </c>
      <c r="F6" s="50">
        <f>'Income Statement'!F4-'Income Statement'!F6</f>
        <v>379399.12966592005</v>
      </c>
      <c r="G6" s="50">
        <f>'Income Statement'!G4-'Income Statement'!G6</f>
        <v>396131.05757534405</v>
      </c>
      <c r="H6" s="50">
        <f>'Income Statement'!H4-'Income Statement'!H6</f>
        <v>413587.68045154569</v>
      </c>
      <c r="I6"/>
    </row>
    <row r="7" spans="1:11" ht="14.4">
      <c r="B7" s="1" t="s">
        <v>30</v>
      </c>
      <c r="C7" s="36">
        <f>C14/C5*365</f>
        <v>14.000393346484616</v>
      </c>
      <c r="D7" s="27">
        <f>Assumptions!D27</f>
        <v>14</v>
      </c>
      <c r="E7" s="27">
        <f>Assumptions!E27</f>
        <v>14</v>
      </c>
      <c r="F7" s="27">
        <f>Assumptions!F27</f>
        <v>14</v>
      </c>
      <c r="G7" s="27">
        <f>Assumptions!G27</f>
        <v>14</v>
      </c>
      <c r="H7" s="27">
        <f>Assumptions!H27</f>
        <v>14</v>
      </c>
      <c r="I7"/>
    </row>
    <row r="8" spans="1:11" ht="14.4">
      <c r="B8" s="1" t="s">
        <v>375</v>
      </c>
      <c r="C8" s="100">
        <f>C15/C6*365</f>
        <v>90.021460378775686</v>
      </c>
      <c r="D8" s="27">
        <f>Assumptions!D28</f>
        <v>90</v>
      </c>
      <c r="E8" s="27">
        <f>Assumptions!E28</f>
        <v>90</v>
      </c>
      <c r="F8" s="27">
        <f>Assumptions!F28</f>
        <v>90</v>
      </c>
      <c r="G8" s="27">
        <f>Assumptions!G28</f>
        <v>90</v>
      </c>
      <c r="H8" s="27">
        <f>Assumptions!H28</f>
        <v>90</v>
      </c>
      <c r="I8"/>
    </row>
    <row r="9" spans="1:11" ht="14.4">
      <c r="B9" s="1" t="s">
        <v>376</v>
      </c>
      <c r="C9" s="100">
        <f>C17/C6*365</f>
        <v>167.33400870407715</v>
      </c>
      <c r="D9" s="27">
        <f>Assumptions!D29</f>
        <v>167.3</v>
      </c>
      <c r="E9" s="27">
        <f>Assumptions!E29</f>
        <v>167.3</v>
      </c>
      <c r="F9" s="27">
        <f>Assumptions!F29</f>
        <v>167.3</v>
      </c>
      <c r="G9" s="27">
        <f>Assumptions!G29</f>
        <v>167.3</v>
      </c>
      <c r="H9" s="27">
        <f>Assumptions!H29</f>
        <v>167.3</v>
      </c>
      <c r="I9"/>
    </row>
    <row r="10" spans="1:11" ht="14.4">
      <c r="B10" s="1" t="s">
        <v>225</v>
      </c>
      <c r="C10" s="17">
        <f>C16/C5</f>
        <v>9.6723802597540015E-2</v>
      </c>
      <c r="D10" s="19">
        <f>Assumptions!D30</f>
        <v>9.7000000000000003E-2</v>
      </c>
      <c r="E10" s="19">
        <f>Assumptions!E30</f>
        <v>9.7000000000000003E-2</v>
      </c>
      <c r="F10" s="19">
        <f>Assumptions!F30</f>
        <v>9.7000000000000003E-2</v>
      </c>
      <c r="G10" s="19">
        <f>Assumptions!G30</f>
        <v>9.7000000000000003E-2</v>
      </c>
      <c r="H10" s="19">
        <f>Assumptions!H30</f>
        <v>9.7000000000000003E-2</v>
      </c>
      <c r="I10"/>
    </row>
    <row r="11" spans="1:11" ht="14.4">
      <c r="B11" s="1" t="s">
        <v>226</v>
      </c>
      <c r="C11" s="17">
        <f>C18/C5</f>
        <v>0.12737979725756349</v>
      </c>
      <c r="D11" s="19">
        <f>Assumptions!D31</f>
        <v>0.127</v>
      </c>
      <c r="E11" s="19">
        <f>Assumptions!E31</f>
        <v>0.127</v>
      </c>
      <c r="F11" s="19">
        <f>Assumptions!F31</f>
        <v>0.127</v>
      </c>
      <c r="G11" s="19">
        <f>Assumptions!G31</f>
        <v>0.127</v>
      </c>
      <c r="H11" s="19">
        <f>Assumptions!H31</f>
        <v>0.127</v>
      </c>
      <c r="I11"/>
    </row>
    <row r="12" spans="1:11" ht="14.4">
      <c r="B12"/>
      <c r="C12"/>
      <c r="D12"/>
      <c r="E12"/>
      <c r="F12"/>
      <c r="G12"/>
      <c r="H12"/>
      <c r="I12"/>
    </row>
    <row r="13" spans="1:11" ht="14.4">
      <c r="B13" s="2" t="s">
        <v>210</v>
      </c>
      <c r="C13"/>
      <c r="D13"/>
      <c r="E13"/>
      <c r="F13"/>
      <c r="G13"/>
      <c r="H13"/>
      <c r="I13"/>
    </row>
    <row r="14" spans="1:11" ht="14.4">
      <c r="B14" s="1" t="s">
        <v>99</v>
      </c>
      <c r="C14" s="50">
        <f>'Balance Sheet'!C6</f>
        <v>12872</v>
      </c>
      <c r="D14" s="55">
        <f t="shared" ref="D14:H15" si="0">D5*D7/365</f>
        <v>14416.234958904111</v>
      </c>
      <c r="E14" s="55">
        <f t="shared" si="0"/>
        <v>15425.3714060274</v>
      </c>
      <c r="F14" s="55">
        <f t="shared" si="0"/>
        <v>16350.893690389043</v>
      </c>
      <c r="G14" s="55">
        <f t="shared" si="0"/>
        <v>17168.438374908495</v>
      </c>
      <c r="H14" s="55">
        <f t="shared" si="0"/>
        <v>18026.860293653921</v>
      </c>
      <c r="I14"/>
    </row>
    <row r="15" spans="1:11" ht="14.4">
      <c r="B15" s="1" t="s">
        <v>231</v>
      </c>
      <c r="C15" s="55">
        <f>C5*85/365</f>
        <v>78149.232876712325</v>
      </c>
      <c r="D15" s="55">
        <f t="shared" si="0"/>
        <v>83871.595528767139</v>
      </c>
      <c r="E15" s="55">
        <f t="shared" si="0"/>
        <v>88750.976196821939</v>
      </c>
      <c r="F15" s="55">
        <f t="shared" si="0"/>
        <v>93550.470328583033</v>
      </c>
      <c r="G15" s="55">
        <f t="shared" si="0"/>
        <v>97676.151182961548</v>
      </c>
      <c r="H15" s="55">
        <f t="shared" si="0"/>
        <v>101980.52394695647</v>
      </c>
      <c r="I15"/>
    </row>
    <row r="16" spans="1:11" ht="14.4">
      <c r="B16" s="1" t="s">
        <v>232</v>
      </c>
      <c r="C16" s="50">
        <f>'Balance Sheet'!C7-C15</f>
        <v>32458.767123287675</v>
      </c>
      <c r="D16" s="55">
        <f>D5*D10</f>
        <v>36457.628480000007</v>
      </c>
      <c r="E16" s="55">
        <f>E5*E10</f>
        <v>39009.662473600001</v>
      </c>
      <c r="F16" s="55">
        <f>F5*F10</f>
        <v>41350.242222016008</v>
      </c>
      <c r="G16" s="55">
        <f>G5*G10</f>
        <v>43417.754333116805</v>
      </c>
      <c r="H16" s="55">
        <f>H5*H10</f>
        <v>45588.64204977265</v>
      </c>
      <c r="I16"/>
    </row>
    <row r="17" spans="2:9" ht="14.4">
      <c r="B17" s="1" t="s">
        <v>233</v>
      </c>
      <c r="C17" s="55">
        <f>C5*158/365</f>
        <v>145265.63287671233</v>
      </c>
      <c r="D17" s="55">
        <f>D6*D9/365</f>
        <v>155907.97702180824</v>
      </c>
      <c r="E17" s="55">
        <f>E6*E9/365</f>
        <v>164978.20353031455</v>
      </c>
      <c r="F17" s="55">
        <f>F6*F9/365</f>
        <v>173899.92984413268</v>
      </c>
      <c r="G17" s="55">
        <f>G6*G9/365</f>
        <v>181569.11214343851</v>
      </c>
      <c r="H17" s="55">
        <f>H6*H9/365</f>
        <v>189570.46284806466</v>
      </c>
      <c r="I17"/>
    </row>
    <row r="18" spans="2:9" ht="14.4">
      <c r="B18" s="1" t="s">
        <v>234</v>
      </c>
      <c r="C18" s="50">
        <f>'Balance Sheet'!C14-C17</f>
        <v>42746.367123287666</v>
      </c>
      <c r="D18" s="55">
        <f>D5*D11</f>
        <v>47733.183680000002</v>
      </c>
      <c r="E18" s="55">
        <f>E5*E11</f>
        <v>51074.506537600006</v>
      </c>
      <c r="F18" s="55">
        <f>F5*F11</f>
        <v>54138.976929856006</v>
      </c>
      <c r="G18" s="55">
        <f>G5*G11</f>
        <v>56845.925776348806</v>
      </c>
      <c r="H18" s="55">
        <f>H5*H11</f>
        <v>59688.22206516625</v>
      </c>
      <c r="I18"/>
    </row>
    <row r="19" spans="2:9" ht="14.4">
      <c r="B19" s="28" t="s">
        <v>211</v>
      </c>
      <c r="C19" s="56">
        <f t="shared" ref="C19:H19" si="1">C14+C15+C16-C17-C18</f>
        <v>-64532</v>
      </c>
      <c r="D19" s="56">
        <f t="shared" si="1"/>
        <v>-68895.701734136979</v>
      </c>
      <c r="E19" s="56">
        <f t="shared" si="1"/>
        <v>-72866.699991465226</v>
      </c>
      <c r="F19" s="56">
        <f t="shared" si="1"/>
        <v>-76787.300533000613</v>
      </c>
      <c r="G19" s="56">
        <f t="shared" si="1"/>
        <v>-80152.69402880047</v>
      </c>
      <c r="H19" s="56">
        <f t="shared" si="1"/>
        <v>-83662.65862284787</v>
      </c>
      <c r="I19"/>
    </row>
    <row r="20" spans="2:9" ht="14.4">
      <c r="B20"/>
      <c r="C20"/>
      <c r="D20"/>
      <c r="E20"/>
      <c r="F20"/>
      <c r="G20"/>
      <c r="H20"/>
      <c r="I20"/>
    </row>
    <row r="21" spans="2:9" ht="14.4">
      <c r="B21" s="2" t="s">
        <v>212</v>
      </c>
      <c r="C21"/>
      <c r="D21"/>
      <c r="E21"/>
      <c r="F21"/>
      <c r="G21"/>
      <c r="H21"/>
      <c r="I21"/>
    </row>
    <row r="22" spans="2:9" ht="14.4">
      <c r="B22" s="1" t="s">
        <v>213</v>
      </c>
      <c r="C22" s="57" t="s">
        <v>202</v>
      </c>
      <c r="D22" s="55">
        <f>D19-C19</f>
        <v>-4363.7017341369792</v>
      </c>
      <c r="E22" s="55">
        <f>E19-D19</f>
        <v>-3970.9982573282468</v>
      </c>
      <c r="F22" s="55">
        <f>F19-E19</f>
        <v>-3920.6005415353866</v>
      </c>
      <c r="G22" s="55">
        <f>G19-F19</f>
        <v>-3365.3934957998572</v>
      </c>
      <c r="H22" s="55">
        <f>H19-G19</f>
        <v>-3509.9645940474002</v>
      </c>
      <c r="I22"/>
    </row>
    <row r="23" spans="2:9" ht="14.4">
      <c r="B23"/>
      <c r="C23"/>
      <c r="D23"/>
      <c r="E23"/>
      <c r="F23"/>
      <c r="G23"/>
      <c r="H23"/>
      <c r="I23"/>
    </row>
    <row r="24" spans="2:9" ht="14.4">
      <c r="B24" s="44" t="s">
        <v>377</v>
      </c>
      <c r="C24"/>
      <c r="D24"/>
      <c r="E24"/>
      <c r="F24"/>
      <c r="G24"/>
      <c r="H24"/>
      <c r="I24"/>
    </row>
    <row r="25" spans="2:9" ht="14.4">
      <c r="B25" s="44" t="s">
        <v>378</v>
      </c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F8463B-3391-49B6-9979-5B2E5FCB0137}">
  <dimension ref="A1:K18"/>
  <sheetViews>
    <sheetView showGridLines="0" zoomScale="110" zoomScaleNormal="110" workbookViewId="0">
      <pane ySplit="2" topLeftCell="A3" activePane="bottomLeft" state="frozenSplit"/>
      <selection pane="bottomLeft" activeCell="D30" sqref="D30"/>
    </sheetView>
  </sheetViews>
  <sheetFormatPr defaultRowHeight="13.8"/>
  <cols>
    <col min="1" max="1" width="5.109375" style="1" customWidth="1"/>
    <col min="2" max="2" width="60" style="1" customWidth="1"/>
    <col min="3" max="8" width="13.33203125" style="1" customWidth="1"/>
    <col min="9" max="16384" width="8.88671875" style="1"/>
  </cols>
  <sheetData>
    <row r="1" spans="1:11" ht="15.6">
      <c r="A1" s="77" t="s">
        <v>200</v>
      </c>
      <c r="B1" s="76"/>
      <c r="C1" s="76"/>
      <c r="D1" s="76"/>
      <c r="E1" s="76"/>
      <c r="F1" s="76"/>
      <c r="G1" s="76"/>
      <c r="H1" s="76"/>
      <c r="I1" s="76"/>
      <c r="J1" s="76"/>
      <c r="K1" s="76"/>
    </row>
    <row r="2" spans="1:11">
      <c r="B2" s="44" t="s">
        <v>242</v>
      </c>
    </row>
    <row r="3" spans="1:11">
      <c r="C3" s="54" t="s">
        <v>86</v>
      </c>
      <c r="D3" s="54" t="s">
        <v>19</v>
      </c>
      <c r="E3" s="54" t="s">
        <v>20</v>
      </c>
      <c r="F3" s="54" t="s">
        <v>21</v>
      </c>
      <c r="G3" s="54" t="s">
        <v>22</v>
      </c>
      <c r="H3" s="54" t="s">
        <v>23</v>
      </c>
    </row>
    <row r="4" spans="1:11">
      <c r="B4" s="2"/>
    </row>
    <row r="5" spans="1:11">
      <c r="B5" s="1" t="s">
        <v>88</v>
      </c>
      <c r="C5" s="50">
        <f>'Income Statement'!C4</f>
        <v>335582</v>
      </c>
      <c r="D5" s="50">
        <f>'Income Statement'!D4</f>
        <v>375851.84</v>
      </c>
      <c r="E5" s="50">
        <f>'Income Statement'!E4</f>
        <v>402161.46880000003</v>
      </c>
      <c r="F5" s="50">
        <f>'Income Statement'!F4</f>
        <v>426291.15692800004</v>
      </c>
      <c r="G5" s="50">
        <f>'Income Statement'!G4</f>
        <v>447605.71477440005</v>
      </c>
      <c r="H5" s="50">
        <f>'Income Statement'!H4</f>
        <v>469986.00051312009</v>
      </c>
    </row>
    <row r="6" spans="1:11">
      <c r="B6" s="1" t="s">
        <v>28</v>
      </c>
      <c r="C6" s="58"/>
      <c r="D6" s="19">
        <f>Assumptions!D25</f>
        <v>0.09</v>
      </c>
      <c r="E6" s="19">
        <f>Assumptions!E25</f>
        <v>0.09</v>
      </c>
      <c r="F6" s="19">
        <f>Assumptions!F25</f>
        <v>0.08</v>
      </c>
      <c r="G6" s="19">
        <f>Assumptions!G25</f>
        <v>7.4999999999999997E-2</v>
      </c>
      <c r="H6" s="19">
        <f>Assumptions!H25</f>
        <v>7.4999999999999997E-2</v>
      </c>
    </row>
    <row r="7" spans="1:11">
      <c r="B7" s="1" t="s">
        <v>222</v>
      </c>
      <c r="C7" s="58" t="s">
        <v>202</v>
      </c>
      <c r="D7" s="19">
        <f>Assumptions!D21</f>
        <v>0.11</v>
      </c>
      <c r="E7" s="19">
        <f>Assumptions!E21</f>
        <v>0.11</v>
      </c>
      <c r="F7" s="19">
        <f>Assumptions!F21</f>
        <v>0.11</v>
      </c>
      <c r="G7" s="19">
        <f>Assumptions!G21</f>
        <v>0.11</v>
      </c>
      <c r="H7" s="19">
        <f>Assumptions!H21</f>
        <v>0.11</v>
      </c>
    </row>
    <row r="9" spans="1:11">
      <c r="B9" s="2" t="s">
        <v>203</v>
      </c>
    </row>
    <row r="10" spans="1:11">
      <c r="B10" s="1" t="s">
        <v>53</v>
      </c>
      <c r="C10" s="50">
        <f>'Income Statement'!C8</f>
        <v>19784</v>
      </c>
      <c r="D10" s="55">
        <f>D13*D7</f>
        <v>22804.1</v>
      </c>
      <c r="E10" s="55">
        <f>E13*E7</f>
        <v>24016.582215999999</v>
      </c>
      <c r="F10" s="55">
        <f>F13*F7</f>
        <v>25356.156713359997</v>
      </c>
      <c r="G10" s="55">
        <f>G13*G7</f>
        <v>26318.341655856795</v>
      </c>
      <c r="H10" s="55">
        <f>H13*H7</f>
        <v>27116.071220601352</v>
      </c>
    </row>
    <row r="12" spans="1:11">
      <c r="B12" s="2" t="s">
        <v>204</v>
      </c>
    </row>
    <row r="13" spans="1:11">
      <c r="B13" s="1" t="s">
        <v>205</v>
      </c>
      <c r="C13" s="57"/>
      <c r="D13" s="50">
        <f>'Balance Sheet'!C4</f>
        <v>207310</v>
      </c>
      <c r="E13" s="55">
        <f>D16</f>
        <v>218332.5656</v>
      </c>
      <c r="F13" s="55">
        <f>E16</f>
        <v>230510.51557599998</v>
      </c>
      <c r="G13" s="55">
        <f>F16</f>
        <v>239257.65141687996</v>
      </c>
      <c r="H13" s="55">
        <f>G16</f>
        <v>246509.7383691032</v>
      </c>
    </row>
    <row r="14" spans="1:11">
      <c r="B14" s="1" t="s">
        <v>206</v>
      </c>
      <c r="C14" s="57"/>
      <c r="D14" s="55">
        <f>D5*D6</f>
        <v>33826.6656</v>
      </c>
      <c r="E14" s="55">
        <f>E5*E6</f>
        <v>36194.532191999999</v>
      </c>
      <c r="F14" s="55">
        <f>F5*F6</f>
        <v>34103.292554240004</v>
      </c>
      <c r="G14" s="55">
        <f>G5*G6</f>
        <v>33570.428608080001</v>
      </c>
      <c r="H14" s="55">
        <f>H5*H6</f>
        <v>35248.950038484007</v>
      </c>
    </row>
    <row r="15" spans="1:11">
      <c r="B15" s="1" t="s">
        <v>207</v>
      </c>
      <c r="C15" s="57"/>
      <c r="D15" s="55">
        <f>-D10</f>
        <v>-22804.1</v>
      </c>
      <c r="E15" s="55">
        <f>-E10</f>
        <v>-24016.582215999999</v>
      </c>
      <c r="F15" s="55">
        <f>-F10</f>
        <v>-25356.156713359997</v>
      </c>
      <c r="G15" s="55">
        <f>-G10</f>
        <v>-26318.341655856795</v>
      </c>
      <c r="H15" s="55">
        <f>-H10</f>
        <v>-27116.071220601352</v>
      </c>
    </row>
    <row r="16" spans="1:11">
      <c r="B16" s="28" t="s">
        <v>208</v>
      </c>
      <c r="C16" s="59">
        <f>'Balance Sheet'!C4</f>
        <v>207310</v>
      </c>
      <c r="D16" s="56">
        <f>SUM(D13:D15)</f>
        <v>218332.5656</v>
      </c>
      <c r="E16" s="56">
        <f>SUM(E13:E15)</f>
        <v>230510.51557599998</v>
      </c>
      <c r="F16" s="56">
        <f>SUM(F13:F15)</f>
        <v>239257.65141687996</v>
      </c>
      <c r="G16" s="56">
        <f>SUM(G13:G15)</f>
        <v>246509.7383691032</v>
      </c>
      <c r="H16" s="56">
        <f>SUM(H13:H15)</f>
        <v>254642.61718698588</v>
      </c>
    </row>
    <row r="18" spans="2:2">
      <c r="B18" s="44" t="s">
        <v>230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E01083-9549-468D-A7C9-AFB01C2995DD}">
  <dimension ref="A1:K18"/>
  <sheetViews>
    <sheetView showGridLines="0" zoomScale="110" zoomScaleNormal="110" workbookViewId="0">
      <pane ySplit="2" topLeftCell="A3" activePane="bottomLeft" state="frozenSplit"/>
      <selection pane="bottomLeft"/>
    </sheetView>
  </sheetViews>
  <sheetFormatPr defaultRowHeight="13.8"/>
  <cols>
    <col min="1" max="1" width="5.109375" style="1" customWidth="1"/>
    <col min="2" max="2" width="38.77734375" style="1" customWidth="1"/>
    <col min="3" max="8" width="13.33203125" style="1" customWidth="1"/>
    <col min="9" max="16384" width="8.88671875" style="1"/>
  </cols>
  <sheetData>
    <row r="1" spans="1:11" ht="15.6">
      <c r="A1" s="77" t="s">
        <v>214</v>
      </c>
      <c r="B1" s="76"/>
      <c r="C1" s="76"/>
      <c r="D1" s="76"/>
      <c r="E1" s="76"/>
      <c r="F1" s="76"/>
      <c r="G1" s="76"/>
      <c r="H1" s="76"/>
      <c r="I1" s="76"/>
      <c r="J1" s="76"/>
      <c r="K1" s="76"/>
    </row>
    <row r="2" spans="1:11">
      <c r="B2" s="44" t="s">
        <v>242</v>
      </c>
    </row>
    <row r="3" spans="1:11">
      <c r="C3" s="54" t="s">
        <v>86</v>
      </c>
      <c r="D3" s="54" t="s">
        <v>19</v>
      </c>
      <c r="E3" s="54" t="s">
        <v>20</v>
      </c>
      <c r="F3" s="54" t="s">
        <v>21</v>
      </c>
      <c r="G3" s="54" t="s">
        <v>22</v>
      </c>
      <c r="H3" s="54" t="s">
        <v>23</v>
      </c>
    </row>
    <row r="4" spans="1:11">
      <c r="B4" s="2" t="s">
        <v>215</v>
      </c>
    </row>
    <row r="5" spans="1:11">
      <c r="B5" s="1" t="s">
        <v>216</v>
      </c>
      <c r="C5" s="57" t="s">
        <v>202</v>
      </c>
      <c r="D5" s="50">
        <f>'Balance Sheet'!C13</f>
        <v>79109</v>
      </c>
      <c r="E5" s="55">
        <f>D8</f>
        <v>71384.799930863024</v>
      </c>
      <c r="F5" s="55">
        <f>E8</f>
        <v>68536.779992231022</v>
      </c>
      <c r="G5" s="55">
        <f>F8</f>
        <v>59970.057679019024</v>
      </c>
      <c r="H5" s="55">
        <f>G8</f>
        <v>47754.895565171588</v>
      </c>
    </row>
    <row r="6" spans="1:11">
      <c r="B6" s="1" t="s">
        <v>413</v>
      </c>
      <c r="C6" s="57" t="s">
        <v>202</v>
      </c>
      <c r="D6" s="50">
        <f>MAX(0,Assumptions!$C$32-('Cash Flow'!D16+'Cash Flow'!D9+'Cash Flow'!D11+'Cash Flow'!D13))</f>
        <v>0</v>
      </c>
      <c r="E6" s="50">
        <f>MAX(0,Assumptions!$C$32-('Cash Flow'!E16+'Cash Flow'!E9+'Cash Flow'!E11+'Cash Flow'!E13))</f>
        <v>0</v>
      </c>
      <c r="F6" s="50">
        <f>MAX(0,Assumptions!$C$32-('Cash Flow'!F16+'Cash Flow'!F9+'Cash Flow'!F11+'Cash Flow'!F13))</f>
        <v>0</v>
      </c>
      <c r="G6" s="50">
        <f>MAX(0,Assumptions!$C$32-('Cash Flow'!G16+'Cash Flow'!G9+'Cash Flow'!G11+'Cash Flow'!G13))</f>
        <v>0</v>
      </c>
      <c r="H6" s="50">
        <f>MAX(0,Assumptions!$C$32-('Cash Flow'!H16+'Cash Flow'!H9+'Cash Flow'!H11+'Cash Flow'!H13))</f>
        <v>0</v>
      </c>
    </row>
    <row r="7" spans="1:11">
      <c r="B7" s="1" t="s">
        <v>414</v>
      </c>
      <c r="C7" s="57" t="s">
        <v>202</v>
      </c>
      <c r="D7" s="50">
        <f>-MIN(D5,MAX(0,'Cash Flow'!D16+'Cash Flow'!D9+'Cash Flow'!D11+'Cash Flow'!D13-Assumptions!$C$32))</f>
        <v>-7724.2000691369758</v>
      </c>
      <c r="E7" s="50">
        <f>-MIN(E5,MAX(0,'Cash Flow'!E16+'Cash Flow'!E9+'Cash Flow'!E11+'Cash Flow'!E13-Assumptions!$C$32))</f>
        <v>-2848.0199386320019</v>
      </c>
      <c r="F7" s="50">
        <f>-MIN(F5,MAX(0,'Cash Flow'!F16+'Cash Flow'!F9+'Cash Flow'!F11+'Cash Flow'!F13-Assumptions!$C$32))</f>
        <v>-8566.722313211998</v>
      </c>
      <c r="G7" s="50">
        <f>-MIN(G5,MAX(0,'Cash Flow'!G16+'Cash Flow'!G9+'Cash Flow'!G11+'Cash Flow'!G13-Assumptions!$C$32))</f>
        <v>-12215.162113847437</v>
      </c>
      <c r="H7" s="50">
        <f>-MIN(H5,MAX(0,'Cash Flow'!H16+'Cash Flow'!H9+'Cash Flow'!H11+'Cash Flow'!H13-Assumptions!$C$32))</f>
        <v>-14626.082116145233</v>
      </c>
    </row>
    <row r="8" spans="1:11">
      <c r="B8" s="28" t="s">
        <v>217</v>
      </c>
      <c r="C8" s="59">
        <f>'Balance Sheet'!C13</f>
        <v>79109</v>
      </c>
      <c r="D8" s="56">
        <f>SUM(D5:D7)</f>
        <v>71384.799930863024</v>
      </c>
      <c r="E8" s="56">
        <f>SUM(E5:E7)</f>
        <v>68536.779992231022</v>
      </c>
      <c r="F8" s="56">
        <f>SUM(F5:F7)</f>
        <v>59970.057679019024</v>
      </c>
      <c r="G8" s="56">
        <f>SUM(G5:G7)</f>
        <v>47754.895565171588</v>
      </c>
      <c r="H8" s="56">
        <f>SUM(H5:H7)</f>
        <v>33128.813449026355</v>
      </c>
    </row>
    <row r="10" spans="1:11">
      <c r="B10" s="2" t="s">
        <v>218</v>
      </c>
    </row>
    <row r="11" spans="1:11">
      <c r="B11" s="1" t="s">
        <v>27</v>
      </c>
      <c r="C11" s="58" t="s">
        <v>202</v>
      </c>
      <c r="D11" s="19">
        <f>Assumptions!D23</f>
        <v>0.05</v>
      </c>
      <c r="E11" s="19">
        <f>Assumptions!E23</f>
        <v>0.05</v>
      </c>
      <c r="F11" s="19">
        <f>Assumptions!F23</f>
        <v>0.05</v>
      </c>
      <c r="G11" s="19">
        <f>Assumptions!G23</f>
        <v>0.05</v>
      </c>
      <c r="H11" s="19">
        <f>Assumptions!H23</f>
        <v>0.05</v>
      </c>
    </row>
    <row r="12" spans="1:11">
      <c r="B12" s="1" t="s">
        <v>93</v>
      </c>
      <c r="C12" s="50">
        <f>'Income Statement'!C11</f>
        <v>2827</v>
      </c>
      <c r="D12" s="55">
        <f>D5*D11</f>
        <v>3955.4500000000003</v>
      </c>
      <c r="E12" s="55">
        <f>E5*E11</f>
        <v>3569.2399965431514</v>
      </c>
      <c r="F12" s="55">
        <f>F5*F11</f>
        <v>3426.8389996115511</v>
      </c>
      <c r="G12" s="55">
        <f>G5*G11</f>
        <v>2998.5028839509514</v>
      </c>
      <c r="H12" s="55">
        <f>H5*H11</f>
        <v>2387.7447782585796</v>
      </c>
    </row>
    <row r="14" spans="1:11">
      <c r="B14" s="44" t="s">
        <v>235</v>
      </c>
    </row>
    <row r="15" spans="1:11">
      <c r="B15" s="44" t="s">
        <v>241</v>
      </c>
    </row>
    <row r="16" spans="1:11">
      <c r="B16" s="44" t="s">
        <v>219</v>
      </c>
    </row>
    <row r="17" spans="2:2">
      <c r="B17" s="44" t="s">
        <v>415</v>
      </c>
    </row>
    <row r="18" spans="2:2">
      <c r="B18" s="44" t="s">
        <v>416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59827-92ED-47E1-98D0-B7350B5CFD55}">
  <sheetPr>
    <pageSetUpPr fitToPage="1"/>
  </sheetPr>
  <dimension ref="A1:K27"/>
  <sheetViews>
    <sheetView showGridLines="0" zoomScale="110" zoomScaleNormal="110" workbookViewId="0">
      <pane ySplit="2" topLeftCell="A3" activePane="bottomLeft" state="frozenSplit"/>
      <selection pane="bottomLeft"/>
    </sheetView>
  </sheetViews>
  <sheetFormatPr defaultRowHeight="14.4"/>
  <cols>
    <col min="1" max="1" width="5.109375" customWidth="1"/>
    <col min="2" max="2" width="39.5546875" customWidth="1"/>
    <col min="3" max="8" width="14.109375" customWidth="1"/>
  </cols>
  <sheetData>
    <row r="1" spans="1:11" ht="15.6">
      <c r="A1" s="77" t="s">
        <v>87</v>
      </c>
      <c r="B1" s="79"/>
      <c r="C1" s="80" t="s">
        <v>243</v>
      </c>
      <c r="D1" s="80" t="s">
        <v>244</v>
      </c>
      <c r="E1" s="79"/>
      <c r="F1" s="79"/>
      <c r="G1" s="79"/>
      <c r="H1" s="79"/>
      <c r="I1" s="79"/>
      <c r="J1" s="79"/>
      <c r="K1" s="79"/>
    </row>
    <row r="2" spans="1:11">
      <c r="B2" s="44" t="s">
        <v>242</v>
      </c>
      <c r="C2" s="60" t="s">
        <v>86</v>
      </c>
      <c r="D2" s="60" t="s">
        <v>19</v>
      </c>
      <c r="E2" s="60" t="s">
        <v>20</v>
      </c>
      <c r="F2" s="60" t="s">
        <v>21</v>
      </c>
      <c r="G2" s="60" t="s">
        <v>22</v>
      </c>
      <c r="H2" s="60" t="s">
        <v>23</v>
      </c>
    </row>
    <row r="4" spans="1:11">
      <c r="B4" s="16" t="s">
        <v>88</v>
      </c>
      <c r="C4" s="52">
        <v>335582</v>
      </c>
      <c r="D4" s="50">
        <f>C4*(1+Assumptions!D19)</f>
        <v>375851.84</v>
      </c>
      <c r="E4" s="50">
        <f>D4*(1+Assumptions!E19)</f>
        <v>402161.46880000003</v>
      </c>
      <c r="F4" s="50">
        <f>E4*(1+Assumptions!F19)</f>
        <v>426291.15692800004</v>
      </c>
      <c r="G4" s="50">
        <f>F4*(1+Assumptions!G19)</f>
        <v>447605.71477440005</v>
      </c>
      <c r="H4" s="50">
        <f>G4*(1+Assumptions!H19)</f>
        <v>469986.00051312009</v>
      </c>
    </row>
    <row r="5" spans="1:11">
      <c r="B5" s="1" t="s">
        <v>89</v>
      </c>
      <c r="C5" s="8"/>
      <c r="D5" s="17">
        <f>D4/C4-1</f>
        <v>0.12000000000000011</v>
      </c>
      <c r="E5" s="17">
        <f>E4/D4-1</f>
        <v>7.0000000000000062E-2</v>
      </c>
      <c r="F5" s="17">
        <f>F4/E4-1</f>
        <v>6.0000000000000053E-2</v>
      </c>
      <c r="G5" s="17">
        <f>G4/F4-1</f>
        <v>5.0000000000000044E-2</v>
      </c>
      <c r="H5" s="17">
        <f>H4/G4-1</f>
        <v>5.0000000000000044E-2</v>
      </c>
    </row>
    <row r="6" spans="1:11">
      <c r="B6" s="1" t="s">
        <v>90</v>
      </c>
      <c r="C6" s="47">
        <v>18719</v>
      </c>
      <c r="D6" s="61">
        <f>D4*Assumptions!D20</f>
        <v>35705.924800000001</v>
      </c>
      <c r="E6" s="61">
        <f>E4*Assumptions!E20</f>
        <v>42226.954224000001</v>
      </c>
      <c r="F6" s="61">
        <f>F4*Assumptions!F20</f>
        <v>46892.027262080002</v>
      </c>
      <c r="G6" s="61">
        <f>G4*Assumptions!G20</f>
        <v>51474.657199056011</v>
      </c>
      <c r="H6" s="61">
        <f>H4*Assumptions!H20</f>
        <v>56398.320061574406</v>
      </c>
    </row>
    <row r="7" spans="1:11">
      <c r="B7" s="1" t="s">
        <v>25</v>
      </c>
      <c r="C7" s="8"/>
      <c r="D7" s="17">
        <f>D6/D4</f>
        <v>9.5000000000000001E-2</v>
      </c>
      <c r="E7" s="17">
        <f>E6/E4</f>
        <v>0.105</v>
      </c>
      <c r="F7" s="17">
        <f>F6/F4</f>
        <v>0.11</v>
      </c>
      <c r="G7" s="17">
        <f>G6/G4</f>
        <v>0.115</v>
      </c>
      <c r="H7" s="17">
        <f>H6/H4</f>
        <v>0.12</v>
      </c>
    </row>
    <row r="8" spans="1:11">
      <c r="B8" s="1" t="s">
        <v>53</v>
      </c>
      <c r="C8" s="46">
        <v>19784</v>
      </c>
      <c r="D8" s="50">
        <f>'Dep &amp; Capex Schedule'!D10</f>
        <v>22804.1</v>
      </c>
      <c r="E8" s="50">
        <f>'Dep &amp; Capex Schedule'!E10</f>
        <v>24016.582215999999</v>
      </c>
      <c r="F8" s="50">
        <f>'Dep &amp; Capex Schedule'!F10</f>
        <v>25356.156713359997</v>
      </c>
      <c r="G8" s="50">
        <f>'Dep &amp; Capex Schedule'!G10</f>
        <v>26318.341655856795</v>
      </c>
      <c r="H8" s="50">
        <f>'Dep &amp; Capex Schedule'!H10</f>
        <v>27116.071220601352</v>
      </c>
    </row>
    <row r="9" spans="1:11">
      <c r="B9" s="1" t="s">
        <v>91</v>
      </c>
      <c r="C9" s="55">
        <f t="shared" ref="C9:H9" si="0">C6-C8</f>
        <v>-1065</v>
      </c>
      <c r="D9" s="55">
        <f t="shared" si="0"/>
        <v>12901.824800000002</v>
      </c>
      <c r="E9" s="55">
        <f t="shared" si="0"/>
        <v>18210.372008000002</v>
      </c>
      <c r="F9" s="55">
        <f t="shared" si="0"/>
        <v>21535.870548720006</v>
      </c>
      <c r="G9" s="55">
        <f t="shared" si="0"/>
        <v>25156.315543199216</v>
      </c>
      <c r="H9" s="55">
        <f t="shared" si="0"/>
        <v>29282.248840973054</v>
      </c>
    </row>
    <row r="10" spans="1:11">
      <c r="B10" s="1" t="s">
        <v>92</v>
      </c>
      <c r="C10" s="46">
        <v>86291</v>
      </c>
      <c r="D10" s="50">
        <f>Assumptions!D22</f>
        <v>2500</v>
      </c>
      <c r="E10" s="50">
        <f>Assumptions!E22</f>
        <v>2700</v>
      </c>
      <c r="F10" s="50">
        <f>Assumptions!F22</f>
        <v>2900</v>
      </c>
      <c r="G10" s="50">
        <f>Assumptions!G22</f>
        <v>3100</v>
      </c>
      <c r="H10" s="50">
        <f>Assumptions!H22</f>
        <v>3300</v>
      </c>
    </row>
    <row r="11" spans="1:11">
      <c r="B11" s="1" t="s">
        <v>93</v>
      </c>
      <c r="C11" s="46">
        <v>2827</v>
      </c>
      <c r="D11" s="50">
        <f>'Debt Schedule'!D12</f>
        <v>3955.4500000000003</v>
      </c>
      <c r="E11" s="50">
        <f>'Debt Schedule'!E12</f>
        <v>3569.2399965431514</v>
      </c>
      <c r="F11" s="50">
        <f>'Debt Schedule'!F12</f>
        <v>3426.8389996115511</v>
      </c>
      <c r="G11" s="50">
        <f>'Debt Schedule'!G12</f>
        <v>2998.5028839509514</v>
      </c>
      <c r="H11" s="50">
        <f>'Debt Schedule'!H12</f>
        <v>2387.7447782585796</v>
      </c>
    </row>
    <row r="12" spans="1:11">
      <c r="B12" s="1" t="s">
        <v>94</v>
      </c>
      <c r="C12" s="62">
        <f t="shared" ref="C12:H12" si="1">C9+C10-C11</f>
        <v>82399</v>
      </c>
      <c r="D12" s="62">
        <f t="shared" si="1"/>
        <v>11446.374800000001</v>
      </c>
      <c r="E12" s="62">
        <f t="shared" si="1"/>
        <v>17341.132011456852</v>
      </c>
      <c r="F12" s="62">
        <f t="shared" si="1"/>
        <v>21009.031549108455</v>
      </c>
      <c r="G12" s="62">
        <f t="shared" si="1"/>
        <v>25257.812659248266</v>
      </c>
      <c r="H12" s="62">
        <f t="shared" si="1"/>
        <v>30194.504062714474</v>
      </c>
    </row>
    <row r="13" spans="1:11">
      <c r="B13" s="1" t="s">
        <v>95</v>
      </c>
      <c r="C13" s="46">
        <v>-246</v>
      </c>
      <c r="D13" s="50">
        <f>D12*Assumptions!$C$12</f>
        <v>2861.5937000000004</v>
      </c>
      <c r="E13" s="50">
        <f>E12*Assumptions!$C$12</f>
        <v>4335.2830028642129</v>
      </c>
      <c r="F13" s="50">
        <f>F12*Assumptions!$C$12</f>
        <v>5252.2578872771137</v>
      </c>
      <c r="G13" s="50">
        <f>G12*Assumptions!$C$12</f>
        <v>6314.4531648120665</v>
      </c>
      <c r="H13" s="50">
        <f>H12*Assumptions!$C$12</f>
        <v>7548.6260156786184</v>
      </c>
    </row>
    <row r="14" spans="1:11">
      <c r="B14" s="16" t="s">
        <v>96</v>
      </c>
      <c r="C14" s="63">
        <f t="shared" ref="C14:H14" si="2">C12-C13</f>
        <v>82645</v>
      </c>
      <c r="D14" s="62">
        <f t="shared" si="2"/>
        <v>8584.7811000000002</v>
      </c>
      <c r="E14" s="62">
        <f t="shared" si="2"/>
        <v>13005.849008592639</v>
      </c>
      <c r="F14" s="62">
        <f t="shared" si="2"/>
        <v>15756.773661831341</v>
      </c>
      <c r="G14" s="62">
        <f t="shared" si="2"/>
        <v>18943.359494436198</v>
      </c>
      <c r="H14" s="62">
        <f t="shared" si="2"/>
        <v>22645.878047035854</v>
      </c>
    </row>
    <row r="15" spans="1:11">
      <c r="B15" s="1" t="s">
        <v>57</v>
      </c>
      <c r="C15" s="18">
        <f>C14/Assumptions!$C$11</f>
        <v>224.27408412483038</v>
      </c>
      <c r="D15" s="18">
        <f>D14/Assumptions!$C$11</f>
        <v>23.296556580732702</v>
      </c>
      <c r="E15" s="18">
        <f>E14/Assumptions!$C$11</f>
        <v>35.294027160359946</v>
      </c>
      <c r="F15" s="18">
        <f>F14/Assumptions!$C$11</f>
        <v>42.759222962907302</v>
      </c>
      <c r="G15" s="18">
        <f>G14/Assumptions!$C$11</f>
        <v>51.406674340396734</v>
      </c>
      <c r="H15" s="18">
        <f>H14/Assumptions!$C$11</f>
        <v>61.454214510273687</v>
      </c>
    </row>
    <row r="16" spans="1:11">
      <c r="B16" s="1" t="s">
        <v>97</v>
      </c>
      <c r="C16" s="46">
        <v>1105</v>
      </c>
      <c r="D16" s="50">
        <f>D14*Assumptions!D26</f>
        <v>1287.717165</v>
      </c>
      <c r="E16" s="50">
        <f>E14*Assumptions!E26</f>
        <v>1950.8773512888956</v>
      </c>
      <c r="F16" s="50">
        <f>F14*Assumptions!F26</f>
        <v>2363.5160492747009</v>
      </c>
      <c r="G16" s="50">
        <f>G14*Assumptions!G26</f>
        <v>2841.5039241654295</v>
      </c>
      <c r="H16" s="50">
        <f>H14*Assumptions!H26</f>
        <v>3396.8817070553782</v>
      </c>
    </row>
    <row r="18" spans="2:3">
      <c r="B18" s="44" t="s">
        <v>121</v>
      </c>
    </row>
    <row r="19" spans="2:3">
      <c r="B19" s="44" t="s">
        <v>122</v>
      </c>
    </row>
    <row r="21" spans="2:3">
      <c r="B21" s="28" t="s">
        <v>397</v>
      </c>
    </row>
    <row r="22" spans="2:3">
      <c r="B22" s="1" t="s">
        <v>398</v>
      </c>
      <c r="C22" s="48">
        <f>C12</f>
        <v>82399</v>
      </c>
    </row>
    <row r="23" spans="2:3">
      <c r="B23" s="1" t="s">
        <v>399</v>
      </c>
      <c r="C23" s="46">
        <v>-86291</v>
      </c>
    </row>
    <row r="24" spans="2:3">
      <c r="B24" s="1" t="s">
        <v>400</v>
      </c>
      <c r="C24" s="103">
        <f>C22+C23</f>
        <v>-3892</v>
      </c>
    </row>
    <row r="25" spans="2:3">
      <c r="B25" s="1" t="s">
        <v>401</v>
      </c>
      <c r="C25" s="48">
        <f>C13</f>
        <v>-246</v>
      </c>
    </row>
    <row r="26" spans="2:3">
      <c r="B26" s="1" t="s">
        <v>402</v>
      </c>
      <c r="C26" s="103">
        <f>C24-C25</f>
        <v>-3646</v>
      </c>
    </row>
    <row r="27" spans="2:3">
      <c r="B27" s="44" t="s">
        <v>403</v>
      </c>
    </row>
  </sheetData>
  <pageMargins left="0.7" right="0.7" top="0.75" bottom="0.75" header="0.3" footer="0.3"/>
  <pageSetup scale="78" fitToHeight="0" orientation="landscape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3C6B34-FBA3-469E-B483-8BAA7768F73F}">
  <sheetPr>
    <pageSetUpPr fitToPage="1"/>
  </sheetPr>
  <dimension ref="A1:K16"/>
  <sheetViews>
    <sheetView showGridLines="0" zoomScale="110" zoomScaleNormal="110" workbookViewId="0">
      <pane ySplit="2" topLeftCell="A3" activePane="bottomLeft" state="frozenSplit"/>
      <selection pane="bottomLeft" activeCell="H30" sqref="H30"/>
    </sheetView>
  </sheetViews>
  <sheetFormatPr defaultRowHeight="14.4"/>
  <cols>
    <col min="1" max="1" width="5.109375" customWidth="1"/>
    <col min="2" max="2" width="39.5546875" customWidth="1"/>
    <col min="3" max="8" width="14.109375" customWidth="1"/>
  </cols>
  <sheetData>
    <row r="1" spans="1:11" ht="15.6">
      <c r="A1" s="77" t="s">
        <v>58</v>
      </c>
      <c r="B1" s="79"/>
      <c r="C1" s="80" t="s">
        <v>243</v>
      </c>
      <c r="D1" s="80" t="s">
        <v>244</v>
      </c>
      <c r="E1" s="79"/>
      <c r="F1" s="79"/>
      <c r="G1" s="79"/>
      <c r="H1" s="79"/>
      <c r="I1" s="79"/>
      <c r="J1" s="79"/>
      <c r="K1" s="79"/>
    </row>
    <row r="2" spans="1:11">
      <c r="B2" s="44" t="s">
        <v>242</v>
      </c>
      <c r="C2" s="60" t="s">
        <v>86</v>
      </c>
      <c r="D2" s="60" t="s">
        <v>19</v>
      </c>
      <c r="E2" s="60" t="s">
        <v>20</v>
      </c>
      <c r="F2" s="60" t="s">
        <v>21</v>
      </c>
      <c r="G2" s="60" t="s">
        <v>22</v>
      </c>
      <c r="H2" s="60" t="s">
        <v>23</v>
      </c>
    </row>
    <row r="4" spans="1:11">
      <c r="B4" s="1" t="s">
        <v>98</v>
      </c>
      <c r="C4" s="46">
        <v>207310</v>
      </c>
      <c r="D4" s="50">
        <f>'Dep &amp; Capex Schedule'!D16</f>
        <v>218332.5656</v>
      </c>
      <c r="E4" s="50">
        <f>'Dep &amp; Capex Schedule'!E16</f>
        <v>230510.51557599998</v>
      </c>
      <c r="F4" s="50">
        <f>'Dep &amp; Capex Schedule'!F16</f>
        <v>239257.65141687996</v>
      </c>
      <c r="G4" s="50">
        <f>'Dep &amp; Capex Schedule'!G16</f>
        <v>246509.7383691032</v>
      </c>
      <c r="H4" s="50">
        <f>'Dep &amp; Capex Schedule'!H16</f>
        <v>254642.61718698588</v>
      </c>
    </row>
    <row r="5" spans="1:11">
      <c r="B5" s="1" t="s">
        <v>66</v>
      </c>
      <c r="C5" s="46">
        <v>26313</v>
      </c>
      <c r="D5" s="55">
        <f>C5</f>
        <v>26313</v>
      </c>
      <c r="E5" s="55">
        <f>D5</f>
        <v>26313</v>
      </c>
      <c r="F5" s="55">
        <f>E5</f>
        <v>26313</v>
      </c>
      <c r="G5" s="55">
        <f>F5</f>
        <v>26313</v>
      </c>
      <c r="H5" s="55">
        <f>G5</f>
        <v>26313</v>
      </c>
    </row>
    <row r="6" spans="1:11">
      <c r="B6" s="1" t="s">
        <v>99</v>
      </c>
      <c r="C6" s="46">
        <v>12872</v>
      </c>
      <c r="D6" s="50">
        <f>'Working Capital Schedule'!D14</f>
        <v>14416.234958904111</v>
      </c>
      <c r="E6" s="50">
        <f>'Working Capital Schedule'!E14</f>
        <v>15425.3714060274</v>
      </c>
      <c r="F6" s="50">
        <f>'Working Capital Schedule'!F14</f>
        <v>16350.893690389043</v>
      </c>
      <c r="G6" s="50">
        <f>'Working Capital Schedule'!G14</f>
        <v>17168.438374908495</v>
      </c>
      <c r="H6" s="50">
        <f>'Working Capital Schedule'!H14</f>
        <v>18026.860293653921</v>
      </c>
    </row>
    <row r="7" spans="1:11">
      <c r="B7" s="1" t="s">
        <v>100</v>
      </c>
      <c r="C7" s="46">
        <v>110608</v>
      </c>
      <c r="D7" s="50">
        <f>'Working Capital Schedule'!D15+'Working Capital Schedule'!D16</f>
        <v>120329.22400876714</v>
      </c>
      <c r="E7" s="50">
        <f>'Working Capital Schedule'!E15+'Working Capital Schedule'!E16</f>
        <v>127760.63867042193</v>
      </c>
      <c r="F7" s="50">
        <f>'Working Capital Schedule'!F15+'Working Capital Schedule'!F16</f>
        <v>134900.71255059904</v>
      </c>
      <c r="G7" s="50">
        <f>'Working Capital Schedule'!G15+'Working Capital Schedule'!G16</f>
        <v>141093.90551607835</v>
      </c>
      <c r="H7" s="50">
        <f>'Working Capital Schedule'!H15+'Working Capital Schedule'!H16</f>
        <v>147569.16599672911</v>
      </c>
    </row>
    <row r="8" spans="1:11">
      <c r="B8" s="1" t="s">
        <v>101</v>
      </c>
      <c r="C8" s="50">
        <f>Assumptions!$C$16</f>
        <v>22086</v>
      </c>
      <c r="D8" s="55">
        <f>'Cash Flow'!D17</f>
        <v>15000.000000000002</v>
      </c>
      <c r="E8" s="55">
        <f>'Cash Flow'!E17</f>
        <v>15000.000000000002</v>
      </c>
      <c r="F8" s="55">
        <f>'Cash Flow'!F17</f>
        <v>15000.000000000002</v>
      </c>
      <c r="G8" s="55">
        <f>'Cash Flow'!G17</f>
        <v>15000.000000000002</v>
      </c>
      <c r="H8" s="55">
        <f>'Cash Flow'!H17</f>
        <v>15000.000000000002</v>
      </c>
    </row>
    <row r="9" spans="1:11">
      <c r="B9" s="16" t="s">
        <v>102</v>
      </c>
      <c r="C9" s="56">
        <f t="shared" ref="C9:H9" si="0">SUM(C4:C8)</f>
        <v>379189</v>
      </c>
      <c r="D9" s="64">
        <f t="shared" si="0"/>
        <v>394391.02456767124</v>
      </c>
      <c r="E9" s="64">
        <f t="shared" si="0"/>
        <v>415009.52565244935</v>
      </c>
      <c r="F9" s="64">
        <f t="shared" si="0"/>
        <v>431822.25765786809</v>
      </c>
      <c r="G9" s="64">
        <f t="shared" si="0"/>
        <v>446085.08226009004</v>
      </c>
      <c r="H9" s="64">
        <f t="shared" si="0"/>
        <v>461551.64347736893</v>
      </c>
    </row>
    <row r="10" spans="1:11">
      <c r="B10" s="1" t="s">
        <v>103</v>
      </c>
      <c r="C10" s="46">
        <v>737</v>
      </c>
      <c r="D10" s="55">
        <f>C10</f>
        <v>737</v>
      </c>
      <c r="E10" s="55">
        <f>D10</f>
        <v>737</v>
      </c>
      <c r="F10" s="55">
        <f>E10</f>
        <v>737</v>
      </c>
      <c r="G10" s="55">
        <f>F10</f>
        <v>737</v>
      </c>
      <c r="H10" s="55">
        <f>G10</f>
        <v>737</v>
      </c>
    </row>
    <row r="11" spans="1:11">
      <c r="B11" s="1" t="s">
        <v>60</v>
      </c>
      <c r="C11" s="46">
        <v>111331</v>
      </c>
      <c r="D11" s="55">
        <f>C11+'Income Statement'!D14-'Income Statement'!D16</f>
        <v>118628.063935</v>
      </c>
      <c r="E11" s="55">
        <f>D11+'Income Statement'!E14-'Income Statement'!E16</f>
        <v>129683.03559230374</v>
      </c>
      <c r="F11" s="55">
        <f>E11+'Income Statement'!F14-'Income Statement'!F16</f>
        <v>143076.29320486038</v>
      </c>
      <c r="G11" s="55">
        <f>F11+'Income Statement'!G14-'Income Statement'!G16</f>
        <v>159178.14877513118</v>
      </c>
      <c r="H11" s="55">
        <f>G11+'Income Statement'!H14-'Income Statement'!H16</f>
        <v>178427.14511511166</v>
      </c>
    </row>
    <row r="12" spans="1:11">
      <c r="B12" s="1" t="s">
        <v>104</v>
      </c>
      <c r="C12" s="62">
        <f t="shared" ref="C12:H12" si="1">C10+C11</f>
        <v>112068</v>
      </c>
      <c r="D12" s="62">
        <f t="shared" si="1"/>
        <v>119365.063935</v>
      </c>
      <c r="E12" s="62">
        <f t="shared" si="1"/>
        <v>130420.03559230374</v>
      </c>
      <c r="F12" s="62">
        <f t="shared" si="1"/>
        <v>143813.29320486038</v>
      </c>
      <c r="G12" s="62">
        <f t="shared" si="1"/>
        <v>159915.14877513118</v>
      </c>
      <c r="H12" s="62">
        <f t="shared" si="1"/>
        <v>179164.14511511166</v>
      </c>
    </row>
    <row r="13" spans="1:11">
      <c r="B13" s="1" t="s">
        <v>61</v>
      </c>
      <c r="C13" s="46">
        <v>79109</v>
      </c>
      <c r="D13" s="50">
        <f>'Debt Schedule'!D8</f>
        <v>71384.799930863024</v>
      </c>
      <c r="E13" s="50">
        <f>'Debt Schedule'!E8</f>
        <v>68536.779992231022</v>
      </c>
      <c r="F13" s="50">
        <f>'Debt Schedule'!F8</f>
        <v>59970.057679019024</v>
      </c>
      <c r="G13" s="50">
        <f>'Debt Schedule'!G8</f>
        <v>47754.895565171588</v>
      </c>
      <c r="H13" s="50">
        <f>'Debt Schedule'!H8</f>
        <v>33128.813449026355</v>
      </c>
    </row>
    <row r="14" spans="1:11">
      <c r="B14" s="1" t="s">
        <v>105</v>
      </c>
      <c r="C14" s="46">
        <v>188012</v>
      </c>
      <c r="D14" s="50">
        <f>'Working Capital Schedule'!D17+'Working Capital Schedule'!D18</f>
        <v>203641.16070180823</v>
      </c>
      <c r="E14" s="50">
        <f>'Working Capital Schedule'!E17+'Working Capital Schedule'!E18</f>
        <v>216052.71006791457</v>
      </c>
      <c r="F14" s="50">
        <f>'Working Capital Schedule'!F17+'Working Capital Schedule'!F18</f>
        <v>228038.90677398868</v>
      </c>
      <c r="G14" s="50">
        <f>'Working Capital Schedule'!G17+'Working Capital Schedule'!G18</f>
        <v>238415.03791978731</v>
      </c>
      <c r="H14" s="50">
        <f>'Working Capital Schedule'!H17+'Working Capital Schedule'!H18</f>
        <v>249258.68491323091</v>
      </c>
    </row>
    <row r="15" spans="1:11">
      <c r="B15" s="16" t="s">
        <v>106</v>
      </c>
      <c r="C15" s="56">
        <f t="shared" ref="C15:H15" si="2">C12+C13+C14</f>
        <v>379189</v>
      </c>
      <c r="D15" s="64">
        <f t="shared" si="2"/>
        <v>394391.02456767124</v>
      </c>
      <c r="E15" s="64">
        <f t="shared" si="2"/>
        <v>415009.52565244935</v>
      </c>
      <c r="F15" s="64">
        <f t="shared" si="2"/>
        <v>431822.25765786809</v>
      </c>
      <c r="G15" s="64">
        <f t="shared" si="2"/>
        <v>446085.08226009004</v>
      </c>
      <c r="H15" s="64">
        <f t="shared" si="2"/>
        <v>461551.64347736893</v>
      </c>
    </row>
    <row r="16" spans="1:11">
      <c r="B16" s="39" t="s">
        <v>107</v>
      </c>
      <c r="C16" s="65">
        <f t="shared" ref="C16:H16" si="3">C9-C15</f>
        <v>0</v>
      </c>
      <c r="D16" s="65">
        <f t="shared" si="3"/>
        <v>0</v>
      </c>
      <c r="E16" s="65">
        <f t="shared" si="3"/>
        <v>0</v>
      </c>
      <c r="F16" s="65">
        <f t="shared" si="3"/>
        <v>0</v>
      </c>
      <c r="G16" s="65">
        <f t="shared" si="3"/>
        <v>0</v>
      </c>
      <c r="H16" s="65">
        <f t="shared" si="3"/>
        <v>0</v>
      </c>
    </row>
  </sheetData>
  <pageMargins left="0.7" right="0.7" top="0.75" bottom="0.75" header="0.3" footer="0.3"/>
  <pageSetup scale="94" fitToHeight="0" orientation="landscape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AB5FF5-BCC2-4BCC-AC48-C987D981E50D}">
  <sheetPr>
    <pageSetUpPr fitToPage="1"/>
  </sheetPr>
  <dimension ref="A1:K19"/>
  <sheetViews>
    <sheetView showGridLines="0" zoomScale="110" zoomScaleNormal="110" workbookViewId="0">
      <pane ySplit="2" topLeftCell="A3" activePane="bottomLeft" state="frozenSplit"/>
      <selection pane="bottomLeft"/>
    </sheetView>
  </sheetViews>
  <sheetFormatPr defaultRowHeight="14.4"/>
  <cols>
    <col min="1" max="1" width="5.109375" customWidth="1"/>
    <col min="2" max="2" width="39.5546875" customWidth="1"/>
    <col min="3" max="8" width="14.109375" customWidth="1"/>
  </cols>
  <sheetData>
    <row r="1" spans="1:11" ht="15.6">
      <c r="A1" s="77" t="s">
        <v>245</v>
      </c>
      <c r="B1" s="79"/>
      <c r="C1" s="80" t="s">
        <v>243</v>
      </c>
      <c r="D1" s="80" t="s">
        <v>244</v>
      </c>
      <c r="E1" s="79"/>
      <c r="F1" s="79"/>
      <c r="G1" s="79"/>
      <c r="H1" s="79"/>
      <c r="I1" s="79"/>
      <c r="J1" s="79"/>
      <c r="K1" s="79"/>
    </row>
    <row r="2" spans="1:11">
      <c r="B2" s="44" t="s">
        <v>242</v>
      </c>
      <c r="C2" s="60" t="s">
        <v>86</v>
      </c>
      <c r="D2" s="60" t="s">
        <v>19</v>
      </c>
      <c r="E2" s="60" t="s">
        <v>20</v>
      </c>
      <c r="F2" s="60" t="s">
        <v>21</v>
      </c>
      <c r="G2" s="60" t="s">
        <v>22</v>
      </c>
      <c r="H2" s="60" t="s">
        <v>23</v>
      </c>
    </row>
    <row r="4" spans="1:11">
      <c r="B4" s="1" t="s">
        <v>96</v>
      </c>
      <c r="C4" s="10"/>
      <c r="D4" s="62">
        <f>'Income Statement'!D14</f>
        <v>8584.7811000000002</v>
      </c>
      <c r="E4" s="62">
        <f>'Income Statement'!E14</f>
        <v>13005.849008592639</v>
      </c>
      <c r="F4" s="62">
        <f>'Income Statement'!F14</f>
        <v>15756.773661831341</v>
      </c>
      <c r="G4" s="62">
        <f>'Income Statement'!G14</f>
        <v>18943.359494436198</v>
      </c>
      <c r="H4" s="62">
        <f>'Income Statement'!H14</f>
        <v>22645.878047035854</v>
      </c>
    </row>
    <row r="5" spans="1:11">
      <c r="B5" s="1" t="s">
        <v>108</v>
      </c>
      <c r="C5" s="7"/>
      <c r="D5" s="55">
        <f>'Income Statement'!D8</f>
        <v>22804.1</v>
      </c>
      <c r="E5" s="55">
        <f>'Income Statement'!E8</f>
        <v>24016.582215999999</v>
      </c>
      <c r="F5" s="55">
        <f>'Income Statement'!F8</f>
        <v>25356.156713359997</v>
      </c>
      <c r="G5" s="55">
        <f>'Income Statement'!G8</f>
        <v>26318.341655856795</v>
      </c>
      <c r="H5" s="55">
        <f>'Income Statement'!H8</f>
        <v>27116.071220601352</v>
      </c>
    </row>
    <row r="6" spans="1:11">
      <c r="B6" s="1" t="s">
        <v>109</v>
      </c>
      <c r="C6" s="7"/>
      <c r="D6" s="55">
        <f>-('Balance Sheet'!D6-'Balance Sheet'!C6)</f>
        <v>-1544.2349589041114</v>
      </c>
      <c r="E6" s="55">
        <f>-('Balance Sheet'!E6-'Balance Sheet'!D6)</f>
        <v>-1009.1364471232882</v>
      </c>
      <c r="F6" s="55">
        <f>-('Balance Sheet'!F6-'Balance Sheet'!E6)</f>
        <v>-925.52228436164296</v>
      </c>
      <c r="G6" s="55">
        <f>-('Balance Sheet'!G6-'Balance Sheet'!F6)</f>
        <v>-817.54468451945286</v>
      </c>
      <c r="H6" s="55">
        <f>-('Balance Sheet'!H6-'Balance Sheet'!G6)</f>
        <v>-858.4219187454255</v>
      </c>
    </row>
    <row r="7" spans="1:11">
      <c r="B7" s="1" t="s">
        <v>110</v>
      </c>
      <c r="C7" s="7"/>
      <c r="D7" s="55">
        <f>-('Balance Sheet'!D7-'Balance Sheet'!C7)</f>
        <v>-9721.224008767138</v>
      </c>
      <c r="E7" s="55">
        <f>-('Balance Sheet'!E7-'Balance Sheet'!D7)</f>
        <v>-7431.4146616547951</v>
      </c>
      <c r="F7" s="55">
        <f>-('Balance Sheet'!F7-'Balance Sheet'!E7)</f>
        <v>-7140.0738801771076</v>
      </c>
      <c r="G7" s="55">
        <f>-('Balance Sheet'!G7-'Balance Sheet'!F7)</f>
        <v>-6193.1929654793057</v>
      </c>
      <c r="H7" s="55">
        <f>-('Balance Sheet'!H7-'Balance Sheet'!G7)</f>
        <v>-6475.2604806507588</v>
      </c>
    </row>
    <row r="8" spans="1:11">
      <c r="B8" s="1" t="s">
        <v>111</v>
      </c>
      <c r="C8" s="7"/>
      <c r="D8" s="55">
        <f>'Balance Sheet'!D14-'Balance Sheet'!C14</f>
        <v>15629.160701808229</v>
      </c>
      <c r="E8" s="55">
        <f>'Balance Sheet'!E14-'Balance Sheet'!D14</f>
        <v>12411.549366106337</v>
      </c>
      <c r="F8" s="55">
        <f>'Balance Sheet'!F14-'Balance Sheet'!E14</f>
        <v>11986.196706074115</v>
      </c>
      <c r="G8" s="55">
        <f>'Balance Sheet'!G14-'Balance Sheet'!F14</f>
        <v>10376.13114579863</v>
      </c>
      <c r="H8" s="55">
        <f>'Balance Sheet'!H14-'Balance Sheet'!G14</f>
        <v>10843.646993443603</v>
      </c>
    </row>
    <row r="9" spans="1:11">
      <c r="B9" s="16" t="s">
        <v>112</v>
      </c>
      <c r="C9" s="10"/>
      <c r="D9" s="62">
        <f>SUM(D4:D8)</f>
        <v>35752.582834136978</v>
      </c>
      <c r="E9" s="62">
        <f>SUM(E4:E8)</f>
        <v>40993.429481920895</v>
      </c>
      <c r="F9" s="62">
        <f>SUM(F4:F8)</f>
        <v>45033.530916726704</v>
      </c>
      <c r="G9" s="62">
        <f>SUM(G4:G8)</f>
        <v>48627.094646092868</v>
      </c>
      <c r="H9" s="62">
        <f>SUM(H4:H8)</f>
        <v>53271.913861684618</v>
      </c>
    </row>
    <row r="10" spans="1:11">
      <c r="B10" s="1" t="s">
        <v>113</v>
      </c>
      <c r="C10" s="7"/>
      <c r="D10" s="50">
        <f>-'Dep &amp; Capex Schedule'!D14</f>
        <v>-33826.6656</v>
      </c>
      <c r="E10" s="50">
        <f>-'Dep &amp; Capex Schedule'!E14</f>
        <v>-36194.532191999999</v>
      </c>
      <c r="F10" s="50">
        <f>-'Dep &amp; Capex Schedule'!F14</f>
        <v>-34103.292554240004</v>
      </c>
      <c r="G10" s="50">
        <f>-'Dep &amp; Capex Schedule'!G14</f>
        <v>-33570.428608080001</v>
      </c>
      <c r="H10" s="50">
        <f>-'Dep &amp; Capex Schedule'!H14</f>
        <v>-35248.950038484007</v>
      </c>
    </row>
    <row r="11" spans="1:11">
      <c r="B11" s="16" t="s">
        <v>114</v>
      </c>
      <c r="C11" s="10"/>
      <c r="D11" s="62">
        <f>D10</f>
        <v>-33826.6656</v>
      </c>
      <c r="E11" s="62">
        <f>E10</f>
        <v>-36194.532191999999</v>
      </c>
      <c r="F11" s="62">
        <f>F10</f>
        <v>-34103.292554240004</v>
      </c>
      <c r="G11" s="62">
        <f>G10</f>
        <v>-33570.428608080001</v>
      </c>
      <c r="H11" s="62">
        <f>H10</f>
        <v>-35248.950038484007</v>
      </c>
    </row>
    <row r="12" spans="1:11">
      <c r="B12" s="1" t="s">
        <v>115</v>
      </c>
      <c r="C12" s="7"/>
      <c r="D12" s="55">
        <f>'Balance Sheet'!D13-'Balance Sheet'!C13</f>
        <v>-7724.2000691369758</v>
      </c>
      <c r="E12" s="55">
        <f>'Balance Sheet'!E13-'Balance Sheet'!D13</f>
        <v>-2848.0199386320019</v>
      </c>
      <c r="F12" s="55">
        <f>'Balance Sheet'!F13-'Balance Sheet'!E13</f>
        <v>-8566.722313211998</v>
      </c>
      <c r="G12" s="55">
        <f>'Balance Sheet'!G13-'Balance Sheet'!F13</f>
        <v>-12215.162113847437</v>
      </c>
      <c r="H12" s="55">
        <f>'Balance Sheet'!H13-'Balance Sheet'!G13</f>
        <v>-14626.082116145233</v>
      </c>
    </row>
    <row r="13" spans="1:11">
      <c r="B13" s="1" t="s">
        <v>116</v>
      </c>
      <c r="C13" s="7"/>
      <c r="D13" s="55">
        <f>-'Income Statement'!D16</f>
        <v>-1287.717165</v>
      </c>
      <c r="E13" s="55">
        <f>-'Income Statement'!E16</f>
        <v>-1950.8773512888956</v>
      </c>
      <c r="F13" s="55">
        <f>-'Income Statement'!F16</f>
        <v>-2363.5160492747009</v>
      </c>
      <c r="G13" s="55">
        <f>-'Income Statement'!G16</f>
        <v>-2841.5039241654295</v>
      </c>
      <c r="H13" s="55">
        <f>-'Income Statement'!H16</f>
        <v>-3396.8817070553782</v>
      </c>
    </row>
    <row r="14" spans="1:11">
      <c r="B14" s="16" t="s">
        <v>117</v>
      </c>
      <c r="C14" s="10"/>
      <c r="D14" s="62">
        <f>D12+D13</f>
        <v>-9011.9172341369758</v>
      </c>
      <c r="E14" s="62">
        <f>E12+E13</f>
        <v>-4798.8972899208975</v>
      </c>
      <c r="F14" s="62">
        <f>F12+F13</f>
        <v>-10930.2383624867</v>
      </c>
      <c r="G14" s="62">
        <f>G12+G13</f>
        <v>-15056.666038012867</v>
      </c>
      <c r="H14" s="62">
        <f>H12+H13</f>
        <v>-18022.963823200611</v>
      </c>
    </row>
    <row r="15" spans="1:11">
      <c r="B15" s="1" t="s">
        <v>118</v>
      </c>
      <c r="C15" s="10"/>
      <c r="D15" s="62">
        <f>D9+D11+D14</f>
        <v>-7085.9999999999982</v>
      </c>
      <c r="E15" s="62">
        <f>E9+E11+E14</f>
        <v>0</v>
      </c>
      <c r="F15" s="62">
        <f>F9+F11+F14</f>
        <v>0</v>
      </c>
      <c r="G15" s="62">
        <f>G9+G11+G14</f>
        <v>0</v>
      </c>
      <c r="H15" s="62">
        <f>H9+H11+H14</f>
        <v>0</v>
      </c>
    </row>
    <row r="16" spans="1:11">
      <c r="B16" s="1" t="s">
        <v>119</v>
      </c>
      <c r="C16" s="7"/>
      <c r="D16" s="55">
        <f>'Balance Sheet'!C8</f>
        <v>22086</v>
      </c>
      <c r="E16" s="55">
        <f>D17</f>
        <v>15000.000000000002</v>
      </c>
      <c r="F16" s="55">
        <f>E17</f>
        <v>15000.000000000002</v>
      </c>
      <c r="G16" s="55">
        <f>F17</f>
        <v>15000.000000000002</v>
      </c>
      <c r="H16" s="55">
        <f>G17</f>
        <v>15000.000000000002</v>
      </c>
    </row>
    <row r="17" spans="2:8">
      <c r="B17" s="16" t="s">
        <v>120</v>
      </c>
      <c r="C17" s="14"/>
      <c r="D17" s="64">
        <f>D16+D15</f>
        <v>15000.000000000002</v>
      </c>
      <c r="E17" s="64">
        <f>E16+E15</f>
        <v>15000.000000000002</v>
      </c>
      <c r="F17" s="64">
        <f>F16+F15</f>
        <v>15000.000000000002</v>
      </c>
      <c r="G17" s="64">
        <f>G16+G15</f>
        <v>15000.000000000002</v>
      </c>
      <c r="H17" s="64">
        <f>H16+H15</f>
        <v>15000.000000000002</v>
      </c>
    </row>
    <row r="19" spans="2:8">
      <c r="B19" s="44" t="s">
        <v>123</v>
      </c>
    </row>
  </sheetData>
  <pageMargins left="0.7" right="0.7" top="0.75" bottom="0.75" header="0.3" footer="0.3"/>
  <pageSetup scale="94" fitToHeight="0" orientation="landscape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1:K85"/>
  <sheetViews>
    <sheetView showGridLines="0" zoomScale="110" zoomScaleNormal="110" workbookViewId="0">
      <pane ySplit="2" topLeftCell="A3" activePane="bottomLeft" state="frozenSplit"/>
      <selection pane="bottomLeft" activeCell="B75" sqref="B75"/>
    </sheetView>
  </sheetViews>
  <sheetFormatPr defaultRowHeight="13.8"/>
  <cols>
    <col min="1" max="1" width="5.109375" style="1" customWidth="1"/>
    <col min="2" max="2" width="34" style="1" customWidth="1"/>
    <col min="3" max="8" width="12.44140625" style="1" customWidth="1"/>
    <col min="9" max="16384" width="8.88671875" style="1"/>
  </cols>
  <sheetData>
    <row r="1" spans="1:11" ht="15.6">
      <c r="A1" s="77" t="s">
        <v>124</v>
      </c>
      <c r="B1" s="76"/>
      <c r="C1" s="76"/>
      <c r="D1" s="76"/>
      <c r="E1" s="76"/>
      <c r="F1" s="76"/>
      <c r="G1" s="76"/>
      <c r="H1" s="76"/>
      <c r="I1" s="76"/>
      <c r="J1" s="76"/>
      <c r="K1" s="76"/>
    </row>
    <row r="2" spans="1:11">
      <c r="B2" s="44" t="s">
        <v>242</v>
      </c>
    </row>
    <row r="3" spans="1:11">
      <c r="B3" s="31" t="s">
        <v>292</v>
      </c>
      <c r="C3" s="32"/>
      <c r="D3" s="32"/>
      <c r="E3" s="32"/>
      <c r="F3" s="32"/>
      <c r="G3" s="32"/>
      <c r="H3" s="32"/>
    </row>
    <row r="4" spans="1:11">
      <c r="B4" s="1" t="s">
        <v>125</v>
      </c>
      <c r="C4" s="19">
        <f>Assumptions!C5+Assumptions!C13*Assumptions!C6</f>
        <v>0.13400000000000001</v>
      </c>
    </row>
    <row r="5" spans="1:11">
      <c r="B5" s="1" t="s">
        <v>126</v>
      </c>
      <c r="C5" s="19">
        <f>Assumptions!C14*(1-Assumptions!C12)</f>
        <v>4.8750000000000002E-2</v>
      </c>
    </row>
    <row r="6" spans="1:11">
      <c r="B6" s="1" t="s">
        <v>127</v>
      </c>
      <c r="C6" s="50">
        <f>Assumptions!C10*Assumptions!C11</f>
        <v>121973.5</v>
      </c>
    </row>
    <row r="7" spans="1:11">
      <c r="B7" s="1" t="s">
        <v>128</v>
      </c>
      <c r="C7" s="50">
        <f>'Balance Sheet'!C13</f>
        <v>79109</v>
      </c>
    </row>
    <row r="8" spans="1:11">
      <c r="B8" s="1" t="s">
        <v>129</v>
      </c>
      <c r="C8" s="17">
        <f>C6/(C6+C7)</f>
        <v>0.60658436213991773</v>
      </c>
    </row>
    <row r="9" spans="1:11">
      <c r="B9" s="16" t="s">
        <v>130</v>
      </c>
      <c r="C9" s="20">
        <f>C8*C4+(1-C8)*C5</f>
        <v>0.10046131687242799</v>
      </c>
    </row>
    <row r="10" spans="1:11">
      <c r="B10" s="1" t="s">
        <v>131</v>
      </c>
      <c r="C10" s="19">
        <f>Assumptions!C15</f>
        <v>0.03</v>
      </c>
    </row>
    <row r="12" spans="1:11">
      <c r="B12" s="31" t="s">
        <v>293</v>
      </c>
      <c r="C12" s="32"/>
      <c r="D12" s="32"/>
      <c r="E12" s="32"/>
      <c r="F12" s="32"/>
      <c r="G12" s="32"/>
      <c r="H12" s="32"/>
    </row>
    <row r="13" spans="1:11">
      <c r="C13" s="34"/>
      <c r="D13" s="45" t="s">
        <v>19</v>
      </c>
      <c r="E13" s="45" t="s">
        <v>20</v>
      </c>
      <c r="F13" s="45" t="s">
        <v>21</v>
      </c>
      <c r="G13" s="45" t="s">
        <v>22</v>
      </c>
      <c r="H13" s="45" t="s">
        <v>23</v>
      </c>
    </row>
    <row r="14" spans="1:11">
      <c r="B14" s="1" t="s">
        <v>91</v>
      </c>
      <c r="D14" s="50">
        <f>'Income Statement'!D9</f>
        <v>12901.824800000002</v>
      </c>
      <c r="E14" s="50">
        <f>'Income Statement'!E9</f>
        <v>18210.372008000002</v>
      </c>
      <c r="F14" s="50">
        <f>'Income Statement'!F9</f>
        <v>21535.870548720006</v>
      </c>
      <c r="G14" s="50">
        <f>'Income Statement'!G9</f>
        <v>25156.315543199216</v>
      </c>
      <c r="H14" s="50">
        <f>'Income Statement'!H9</f>
        <v>29282.248840973054</v>
      </c>
    </row>
    <row r="15" spans="1:11">
      <c r="B15" s="1" t="s">
        <v>132</v>
      </c>
      <c r="D15" s="50">
        <f>D14*(1-Assumptions!$C$12)</f>
        <v>9676.3686000000016</v>
      </c>
      <c r="E15" s="50">
        <f>E14*(1-Assumptions!$C$12)</f>
        <v>13657.779006000001</v>
      </c>
      <c r="F15" s="50">
        <f>F14*(1-Assumptions!$C$12)</f>
        <v>16151.902911540004</v>
      </c>
      <c r="G15" s="50">
        <f>G14*(1-Assumptions!$C$12)</f>
        <v>18867.236657399411</v>
      </c>
      <c r="H15" s="50">
        <f>H14*(1-Assumptions!$C$12)</f>
        <v>21961.68663072979</v>
      </c>
    </row>
    <row r="16" spans="1:11">
      <c r="B16" s="1" t="s">
        <v>108</v>
      </c>
      <c r="D16" s="50">
        <f>'Income Statement'!D8</f>
        <v>22804.1</v>
      </c>
      <c r="E16" s="50">
        <f>'Income Statement'!E8</f>
        <v>24016.582215999999</v>
      </c>
      <c r="F16" s="50">
        <f>'Income Statement'!F8</f>
        <v>25356.156713359997</v>
      </c>
      <c r="G16" s="50">
        <f>'Income Statement'!G8</f>
        <v>26318.341655856795</v>
      </c>
      <c r="H16" s="50">
        <f>'Income Statement'!H8</f>
        <v>27116.071220601352</v>
      </c>
    </row>
    <row r="17" spans="2:8">
      <c r="B17" s="1" t="s">
        <v>113</v>
      </c>
      <c r="D17" s="50">
        <f>-'Income Statement'!D4*Assumptions!D25</f>
        <v>-33826.6656</v>
      </c>
      <c r="E17" s="50">
        <f>-'Income Statement'!E4*Assumptions!E25</f>
        <v>-36194.532191999999</v>
      </c>
      <c r="F17" s="50">
        <f>-'Income Statement'!F4*Assumptions!F25</f>
        <v>-34103.292554240004</v>
      </c>
      <c r="G17" s="50">
        <f>-'Income Statement'!G4*Assumptions!G25</f>
        <v>-33570.428608080001</v>
      </c>
      <c r="H17" s="50">
        <f>-'Income Statement'!H4*Assumptions!H25</f>
        <v>-35248.950038484007</v>
      </c>
    </row>
    <row r="18" spans="2:8">
      <c r="B18" s="1" t="s">
        <v>133</v>
      </c>
      <c r="D18" s="50">
        <f>-(('Balance Sheet'!D6+'Balance Sheet'!D7-'Balance Sheet'!D14)-('Balance Sheet'!C6+'Balance Sheet'!C7-'Balance Sheet'!C14))</f>
        <v>4363.7017341369647</v>
      </c>
      <c r="E18" s="50">
        <f>-(('Balance Sheet'!E6+'Balance Sheet'!E7-'Balance Sheet'!E14)-('Balance Sheet'!D6+'Balance Sheet'!D7-'Balance Sheet'!D14))</f>
        <v>3970.9982573282614</v>
      </c>
      <c r="F18" s="50">
        <f>-(('Balance Sheet'!F6+'Balance Sheet'!F7-'Balance Sheet'!F14)-('Balance Sheet'!E6+'Balance Sheet'!E7-'Balance Sheet'!E14))</f>
        <v>3920.6005415353866</v>
      </c>
      <c r="G18" s="50">
        <f>-(('Balance Sheet'!G6+'Balance Sheet'!G7-'Balance Sheet'!G14)-('Balance Sheet'!F6+'Balance Sheet'!F7-'Balance Sheet'!F14))</f>
        <v>3365.3934957998572</v>
      </c>
      <c r="H18" s="50">
        <f>-(('Balance Sheet'!H6+'Balance Sheet'!H7-'Balance Sheet'!H14)-('Balance Sheet'!G6+'Balance Sheet'!G7-'Balance Sheet'!G14))</f>
        <v>3509.9645940474293</v>
      </c>
    </row>
    <row r="19" spans="2:8">
      <c r="B19" s="16" t="s">
        <v>134</v>
      </c>
      <c r="C19" s="21"/>
      <c r="D19" s="63">
        <f>SUM(D15:D18)</f>
        <v>3017.5047341369645</v>
      </c>
      <c r="E19" s="63">
        <f>SUM(E15:E18)</f>
        <v>5450.8272873282622</v>
      </c>
      <c r="F19" s="63">
        <f>SUM(F15:F18)</f>
        <v>11325.367612195383</v>
      </c>
      <c r="G19" s="63">
        <f>SUM(G15:G18)</f>
        <v>14980.543200976063</v>
      </c>
      <c r="H19" s="63">
        <f>SUM(H15:H18)</f>
        <v>17338.772406894568</v>
      </c>
    </row>
    <row r="20" spans="2:8">
      <c r="B20" s="1" t="s">
        <v>135</v>
      </c>
      <c r="D20" s="22">
        <f>1/(1+$C$9)^0.5</f>
        <v>0.95326272102713405</v>
      </c>
      <c r="E20" s="22">
        <f>1/(1+$C$9)^1.5</f>
        <v>0.86623919115699544</v>
      </c>
      <c r="F20" s="22">
        <f>1/(1+$C$9)^2.5</f>
        <v>0.78716005540194278</v>
      </c>
      <c r="G20" s="22">
        <f>1/(1+$C$9)^3.5</f>
        <v>0.71530006855588113</v>
      </c>
      <c r="H20" s="22">
        <f>1/(1+$C$9)^4.5</f>
        <v>0.65000019318153179</v>
      </c>
    </row>
    <row r="21" spans="2:8">
      <c r="B21" s="1" t="s">
        <v>136</v>
      </c>
      <c r="D21" s="55">
        <f>D19*D20</f>
        <v>2876.4747735756614</v>
      </c>
      <c r="E21" s="55">
        <f>E19*E20</f>
        <v>4721.7202205117137</v>
      </c>
      <c r="F21" s="55">
        <f>F19*F20</f>
        <v>8914.8769970630856</v>
      </c>
      <c r="G21" s="55">
        <f>G19*G20</f>
        <v>10715.583578662516</v>
      </c>
      <c r="H21" s="55">
        <f>H19*H20</f>
        <v>11270.205414012082</v>
      </c>
    </row>
    <row r="23" spans="2:8">
      <c r="B23" s="31" t="s">
        <v>294</v>
      </c>
      <c r="C23" s="32"/>
      <c r="D23" s="32"/>
      <c r="E23" s="32"/>
      <c r="F23" s="32"/>
      <c r="G23" s="32"/>
      <c r="H23" s="32"/>
    </row>
    <row r="24" spans="2:8">
      <c r="B24" s="1" t="s">
        <v>137</v>
      </c>
      <c r="C24" s="55">
        <f>SUM(D21:H21)</f>
        <v>38498.860983825056</v>
      </c>
    </row>
    <row r="25" spans="2:8">
      <c r="B25" s="1" t="s">
        <v>138</v>
      </c>
      <c r="C25" s="55">
        <f>H19*(1+C10)/(C9-C10)</f>
        <v>253457.30638891499</v>
      </c>
    </row>
    <row r="26" spans="2:8">
      <c r="B26" s="1" t="s">
        <v>139</v>
      </c>
      <c r="C26" s="55">
        <f>C25*H20</f>
        <v>164747.29811606545</v>
      </c>
    </row>
    <row r="27" spans="2:8">
      <c r="B27" s="1" t="s">
        <v>140</v>
      </c>
      <c r="C27" s="62">
        <f>C24+C26</f>
        <v>203246.1590998905</v>
      </c>
      <c r="D27" s="21"/>
      <c r="E27" s="21"/>
      <c r="F27" s="21"/>
      <c r="G27" s="21"/>
      <c r="H27" s="21"/>
    </row>
    <row r="28" spans="2:8">
      <c r="B28" s="1" t="s">
        <v>141</v>
      </c>
      <c r="C28" s="50">
        <f>Assumptions!C16</f>
        <v>22086</v>
      </c>
    </row>
    <row r="29" spans="2:8">
      <c r="B29" s="1" t="s">
        <v>142</v>
      </c>
      <c r="C29" s="50">
        <f>'Balance Sheet'!C5</f>
        <v>26313</v>
      </c>
    </row>
    <row r="30" spans="2:8">
      <c r="B30" s="1" t="s">
        <v>143</v>
      </c>
      <c r="C30" s="50">
        <f>-'Balance Sheet'!C13</f>
        <v>-79109</v>
      </c>
    </row>
    <row r="31" spans="2:8">
      <c r="B31" s="16" t="s">
        <v>144</v>
      </c>
      <c r="C31" s="56">
        <f>SUM(C27:C30)</f>
        <v>172536.1590998905</v>
      </c>
      <c r="D31" s="23"/>
      <c r="E31" s="23"/>
      <c r="F31" s="23"/>
      <c r="G31" s="23"/>
      <c r="H31" s="23"/>
    </row>
    <row r="32" spans="2:8">
      <c r="B32" s="1" t="s">
        <v>10</v>
      </c>
      <c r="C32" s="24">
        <f>Assumptions!C11</f>
        <v>368.5</v>
      </c>
    </row>
    <row r="33" spans="2:10">
      <c r="B33" s="16" t="s">
        <v>145</v>
      </c>
      <c r="C33" s="63">
        <f>C31/C32</f>
        <v>468.21210067812888</v>
      </c>
      <c r="D33" s="21"/>
      <c r="E33" s="21"/>
      <c r="F33" s="21"/>
      <c r="G33" s="21"/>
      <c r="H33" s="21"/>
    </row>
    <row r="34" spans="2:10">
      <c r="B34" s="1" t="s">
        <v>146</v>
      </c>
      <c r="C34" s="50">
        <f>Assumptions!C10</f>
        <v>331</v>
      </c>
    </row>
    <row r="35" spans="2:10">
      <c r="B35" s="16" t="s">
        <v>147</v>
      </c>
      <c r="C35" s="20">
        <f>C33/C34-1</f>
        <v>0.41453806851398456</v>
      </c>
    </row>
    <row r="36" spans="2:10">
      <c r="B36" s="1" t="s">
        <v>408</v>
      </c>
      <c r="C36" s="8">
        <f>C26/C27</f>
        <v>0.81058013025031483</v>
      </c>
      <c r="J36" s="44" t="s">
        <v>409</v>
      </c>
    </row>
    <row r="37" spans="2:10">
      <c r="B37" s="31" t="s">
        <v>295</v>
      </c>
      <c r="C37" s="32"/>
      <c r="D37" s="32"/>
      <c r="E37" s="32"/>
      <c r="F37" s="32"/>
      <c r="G37" s="32"/>
      <c r="H37" s="32"/>
    </row>
    <row r="40" spans="2:10">
      <c r="C40" s="16" t="s">
        <v>148</v>
      </c>
      <c r="D40" s="20">
        <f>$C$10+-0.01</f>
        <v>1.9999999999999997E-2</v>
      </c>
      <c r="E40" s="20">
        <f>$C$10+-0.005</f>
        <v>2.4999999999999998E-2</v>
      </c>
      <c r="F40" s="20">
        <f>$C$10+0</f>
        <v>0.03</v>
      </c>
      <c r="G40" s="20">
        <f>$C$10+0.005</f>
        <v>3.4999999999999996E-2</v>
      </c>
      <c r="H40" s="20">
        <f>$C$10+0.01</f>
        <v>0.04</v>
      </c>
    </row>
    <row r="41" spans="2:10">
      <c r="C41" s="20">
        <f>$C$9+-0.01</f>
        <v>9.0461316872427991E-2</v>
      </c>
      <c r="D41" s="66">
        <f t="shared" ref="D41:H45" si="0">($D$19/(1+$C41)^0.5+$E$19/(1+$C41)^1.5+$F$19/(1+$C41)^2.5+$G$19/(1+$C41)^3.5+$H$19/(1+$C41)^4.5+$H$19*(1+D$40)/(($C41-D$40)*(1+$C41)^4.5)+$C$28+$C$29+$C$30)/$C$32</f>
        <v>485.43475465863293</v>
      </c>
      <c r="E41" s="66">
        <f t="shared" si="0"/>
        <v>523.10335131973727</v>
      </c>
      <c r="F41" s="66">
        <f t="shared" si="0"/>
        <v>567.00214583455113</v>
      </c>
      <c r="G41" s="66">
        <f t="shared" si="0"/>
        <v>618.81614990268099</v>
      </c>
      <c r="H41" s="66">
        <f t="shared" si="0"/>
        <v>680.89821815929088</v>
      </c>
    </row>
    <row r="42" spans="2:10">
      <c r="C42" s="20">
        <f>$C$9+-0.005</f>
        <v>9.5461316872427981E-2</v>
      </c>
      <c r="D42" s="66">
        <f t="shared" si="0"/>
        <v>444.5783770012327</v>
      </c>
      <c r="E42" s="66">
        <f t="shared" si="0"/>
        <v>476.73615707575686</v>
      </c>
      <c r="F42" s="66">
        <f t="shared" si="0"/>
        <v>513.80642312076554</v>
      </c>
      <c r="G42" s="66">
        <f t="shared" si="0"/>
        <v>557.00792612232692</v>
      </c>
      <c r="H42" s="66">
        <f t="shared" si="0"/>
        <v>607.99891293671146</v>
      </c>
    </row>
    <row r="43" spans="2:10">
      <c r="C43" s="20">
        <f>$C$9+0</f>
        <v>0.10046131687242799</v>
      </c>
      <c r="D43" s="66">
        <f t="shared" si="0"/>
        <v>408.84699726339898</v>
      </c>
      <c r="E43" s="66">
        <f t="shared" si="0"/>
        <v>436.56280939228924</v>
      </c>
      <c r="F43" s="66">
        <f t="shared" si="0"/>
        <v>468.21210067812882</v>
      </c>
      <c r="G43" s="66">
        <f t="shared" si="0"/>
        <v>504.69620018322848</v>
      </c>
      <c r="H43" s="66">
        <f t="shared" si="0"/>
        <v>547.21458762520501</v>
      </c>
    </row>
    <row r="44" spans="2:10">
      <c r="C44" s="20">
        <f>$C$9+0.005</f>
        <v>0.10546131687242799</v>
      </c>
      <c r="D44" s="66">
        <f t="shared" si="0"/>
        <v>377.3401734470126</v>
      </c>
      <c r="E44" s="66">
        <f t="shared" si="0"/>
        <v>401.42767281552983</v>
      </c>
      <c r="F44" s="66">
        <f t="shared" si="0"/>
        <v>428.70720491907593</v>
      </c>
      <c r="G44" s="66">
        <f t="shared" si="0"/>
        <v>459.8582985140053</v>
      </c>
      <c r="H44" s="66">
        <f t="shared" si="0"/>
        <v>495.76809466538322</v>
      </c>
    </row>
    <row r="45" spans="2:10">
      <c r="C45" s="20">
        <f>$C$9+0.01</f>
        <v>0.11046131687242798</v>
      </c>
      <c r="D45" s="66">
        <f t="shared" si="0"/>
        <v>349.35656335327053</v>
      </c>
      <c r="E45" s="66">
        <f t="shared" si="0"/>
        <v>370.44558106077579</v>
      </c>
      <c r="F45" s="66">
        <f t="shared" si="0"/>
        <v>394.15561201132101</v>
      </c>
      <c r="G45" s="66">
        <f t="shared" si="0"/>
        <v>421.00765425099149</v>
      </c>
      <c r="H45" s="66">
        <f t="shared" si="0"/>
        <v>451.67058783240196</v>
      </c>
    </row>
    <row r="47" spans="2:10">
      <c r="B47" s="44" t="s">
        <v>410</v>
      </c>
    </row>
    <row r="49" spans="2:10">
      <c r="B49" s="81" t="s">
        <v>296</v>
      </c>
      <c r="C49" s="76"/>
      <c r="D49" s="76"/>
      <c r="E49" s="76"/>
      <c r="F49" s="76"/>
      <c r="G49" s="76"/>
      <c r="H49" s="76"/>
      <c r="I49" s="76"/>
    </row>
    <row r="51" spans="2:10">
      <c r="B51" s="28" t="s">
        <v>299</v>
      </c>
      <c r="C51" s="28" t="s">
        <v>300</v>
      </c>
      <c r="D51" s="28" t="s">
        <v>75</v>
      </c>
      <c r="J51" s="44" t="s">
        <v>301</v>
      </c>
    </row>
    <row r="52" spans="2:10">
      <c r="B52" s="1" t="s">
        <v>302</v>
      </c>
      <c r="C52" s="71">
        <v>22.2</v>
      </c>
      <c r="D52" s="8">
        <v>0.151</v>
      </c>
    </row>
    <row r="53" spans="2:10">
      <c r="B53" s="1" t="s">
        <v>303</v>
      </c>
      <c r="C53" s="71">
        <v>30.3</v>
      </c>
      <c r="D53" s="8">
        <v>0.189</v>
      </c>
    </row>
    <row r="54" spans="2:10">
      <c r="B54" s="1" t="s">
        <v>304</v>
      </c>
      <c r="C54" s="71">
        <v>36.5</v>
      </c>
      <c r="D54" s="8">
        <v>0.38400000000000001</v>
      </c>
    </row>
    <row r="55" spans="2:10">
      <c r="B55" s="104" t="s">
        <v>404</v>
      </c>
      <c r="C55" s="71"/>
      <c r="D55" s="8"/>
    </row>
    <row r="56" spans="2:10">
      <c r="B56" s="1" t="s">
        <v>405</v>
      </c>
      <c r="C56" s="71">
        <v>5.6</v>
      </c>
      <c r="D56" s="8"/>
      <c r="J56" s="44" t="s">
        <v>407</v>
      </c>
    </row>
    <row r="57" spans="2:10">
      <c r="B57" s="1" t="s">
        <v>406</v>
      </c>
      <c r="C57" s="71">
        <v>8.5</v>
      </c>
      <c r="D57" s="8"/>
    </row>
    <row r="59" spans="2:10">
      <c r="B59" s="1" t="s">
        <v>149</v>
      </c>
      <c r="C59" s="24">
        <f>'Income Statement'!D15</f>
        <v>23.296556580732702</v>
      </c>
    </row>
    <row r="60" spans="2:10">
      <c r="B60" s="1" t="s">
        <v>305</v>
      </c>
      <c r="C60" s="72">
        <v>16</v>
      </c>
      <c r="J60" s="44" t="s">
        <v>306</v>
      </c>
    </row>
    <row r="61" spans="2:10">
      <c r="B61" s="1" t="s">
        <v>307</v>
      </c>
      <c r="C61" s="73">
        <f>12*C59</f>
        <v>279.55867896879244</v>
      </c>
    </row>
    <row r="62" spans="2:10">
      <c r="B62" s="28" t="s">
        <v>308</v>
      </c>
      <c r="C62" s="74">
        <f>C60*C59</f>
        <v>372.74490529172323</v>
      </c>
    </row>
    <row r="63" spans="2:10">
      <c r="B63" s="1" t="s">
        <v>309</v>
      </c>
      <c r="C63" s="73">
        <f>20*C59</f>
        <v>465.93113161465402</v>
      </c>
    </row>
    <row r="65" spans="2:10">
      <c r="B65" s="81" t="s">
        <v>297</v>
      </c>
      <c r="C65" s="76"/>
      <c r="D65" s="76"/>
      <c r="E65" s="76"/>
      <c r="F65" s="76"/>
      <c r="G65" s="76"/>
      <c r="H65" s="76"/>
      <c r="I65" s="76"/>
    </row>
    <row r="67" spans="2:10">
      <c r="B67" s="1" t="s">
        <v>310</v>
      </c>
      <c r="C67" s="73">
        <f>C33</f>
        <v>468.21210067812888</v>
      </c>
      <c r="J67" s="44" t="s">
        <v>311</v>
      </c>
    </row>
    <row r="68" spans="2:10">
      <c r="B68" s="1" t="s">
        <v>312</v>
      </c>
      <c r="C68" s="73">
        <f>C61</f>
        <v>279.55867896879244</v>
      </c>
    </row>
    <row r="69" spans="2:10">
      <c r="B69" s="1" t="s">
        <v>313</v>
      </c>
      <c r="C69" s="73">
        <f>C62</f>
        <v>372.74490529172323</v>
      </c>
      <c r="J69" s="44" t="s">
        <v>315</v>
      </c>
    </row>
    <row r="70" spans="2:10">
      <c r="B70" s="1" t="s">
        <v>314</v>
      </c>
      <c r="C70" s="73">
        <f>C63</f>
        <v>465.93113161465402</v>
      </c>
    </row>
    <row r="72" spans="2:10">
      <c r="B72" s="28" t="s">
        <v>316</v>
      </c>
      <c r="C72" s="74">
        <f>C33</f>
        <v>468.21210067812888</v>
      </c>
      <c r="J72" s="44" t="s">
        <v>317</v>
      </c>
    </row>
    <row r="73" spans="2:10">
      <c r="B73" s="1" t="s">
        <v>146</v>
      </c>
      <c r="C73" s="73">
        <f>C34</f>
        <v>331</v>
      </c>
    </row>
    <row r="74" spans="2:10">
      <c r="B74" s="1" t="s">
        <v>318</v>
      </c>
      <c r="C74" s="8">
        <f>C73/C72-1</f>
        <v>-0.29305543466176875</v>
      </c>
    </row>
    <row r="75" spans="2:10">
      <c r="B75" s="28" t="s">
        <v>319</v>
      </c>
      <c r="C75" s="28" t="str">
        <f>IF(C74&gt;0.1,"OVERVALUED",IF(C74&lt;-0.1,"UNDERVALUED","FAIRLY VALUED"))</f>
        <v>UNDERVALUED</v>
      </c>
    </row>
    <row r="76" spans="2:10">
      <c r="B76" s="1" t="s">
        <v>411</v>
      </c>
      <c r="C76" s="1" t="str">
        <f>"₹"&amp;TEXT(E81,"#,##0")&amp;" – ₹"&amp;TEXT(E83,"#,##0")</f>
        <v>₹335 – ₹610</v>
      </c>
      <c r="J76" s="44" t="s">
        <v>412</v>
      </c>
    </row>
    <row r="78" spans="2:10">
      <c r="B78" s="81" t="s">
        <v>298</v>
      </c>
      <c r="C78" s="76"/>
      <c r="D78" s="76"/>
      <c r="E78" s="76"/>
      <c r="F78" s="76"/>
      <c r="G78" s="76"/>
      <c r="H78" s="76"/>
      <c r="I78" s="76"/>
    </row>
    <row r="80" spans="2:10">
      <c r="B80" s="68" t="s">
        <v>320</v>
      </c>
      <c r="C80" s="68" t="s">
        <v>321</v>
      </c>
      <c r="D80" s="68" t="s">
        <v>322</v>
      </c>
      <c r="E80" s="68" t="s">
        <v>323</v>
      </c>
      <c r="F80" s="68" t="s">
        <v>300</v>
      </c>
      <c r="G80" s="68" t="s">
        <v>324</v>
      </c>
      <c r="H80" s="68" t="s">
        <v>325</v>
      </c>
      <c r="I80" s="68" t="s">
        <v>326</v>
      </c>
    </row>
    <row r="81" spans="2:9">
      <c r="B81" s="1" t="s">
        <v>327</v>
      </c>
      <c r="C81" s="13">
        <v>0.85</v>
      </c>
      <c r="D81" s="11">
        <v>0.02</v>
      </c>
      <c r="E81" s="7">
        <f>(SUMPRODUCT($D$19:$H$19/(1+$C$9)^{0.5,1.5,2.5,3.5,4.5})*C81+$H$19*C81*(1+D81)/($C$9-D81)/(1+$C$9)^4.5+$C$28+$C$29+$C$30)/$C$32</f>
        <v>335.01926924783771</v>
      </c>
      <c r="F81" s="72">
        <v>12</v>
      </c>
      <c r="G81" s="13">
        <v>0.85</v>
      </c>
      <c r="H81" s="7">
        <f>F81*'Income Statement'!$D$15*G81</f>
        <v>237.62487712347357</v>
      </c>
      <c r="I81" s="44" t="s">
        <v>328</v>
      </c>
    </row>
    <row r="82" spans="2:9">
      <c r="B82" s="28" t="s">
        <v>329</v>
      </c>
      <c r="C82" s="13">
        <v>1</v>
      </c>
      <c r="D82" s="8">
        <f>C10</f>
        <v>0.03</v>
      </c>
      <c r="E82" s="7">
        <f>(SUMPRODUCT($D$19:$H$19/(1+$C$9)^{0.5,1.5,2.5,3.5,4.5})*C82+$H$19*C82*(1+D82)/($C$9-D82)/(1+$C$9)^4.5+$C$28+$C$29+$C$30)/$C$32</f>
        <v>468.21210067812882</v>
      </c>
      <c r="F82" s="72">
        <v>16</v>
      </c>
      <c r="G82" s="13">
        <v>1</v>
      </c>
      <c r="H82" s="7">
        <f>F82*'Income Statement'!$D$15*G82</f>
        <v>372.74490529172323</v>
      </c>
      <c r="I82" s="44" t="s">
        <v>330</v>
      </c>
    </row>
    <row r="83" spans="2:9">
      <c r="B83" s="1" t="s">
        <v>331</v>
      </c>
      <c r="C83" s="13">
        <v>1.1000000000000001</v>
      </c>
      <c r="D83" s="11">
        <v>0.04</v>
      </c>
      <c r="E83" s="7">
        <f>(SUMPRODUCT($D$19:$H$19/(1+$C$9)^{0.5,1.5,2.5,3.5,4.5})*C83+$H$19*C83*(1+D83)/($C$9-D83)/(1+$C$9)^4.5+$C$28+$C$29+$C$30)/$C$32</f>
        <v>610.26983200509324</v>
      </c>
      <c r="F83" s="72">
        <v>20</v>
      </c>
      <c r="G83" s="13">
        <v>1.1000000000000001</v>
      </c>
      <c r="H83" s="7">
        <f>F83*'Income Statement'!$D$15*G83</f>
        <v>512.52424477611942</v>
      </c>
      <c r="I83" s="44" t="s">
        <v>332</v>
      </c>
    </row>
    <row r="85" spans="2:9">
      <c r="B85" s="44" t="s">
        <v>333</v>
      </c>
    </row>
  </sheetData>
  <pageMargins left="0.75" right="0.75" top="1" bottom="1" header="0.5" footer="0.5"/>
  <pageSetup scale="54" fitToHeight="0" orientation="landscape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M51"/>
  <sheetViews>
    <sheetView showGridLines="0" tabSelected="1" zoomScale="110" zoomScaleNormal="110" workbookViewId="0">
      <pane ySplit="2" topLeftCell="A15" activePane="bottomLeft" state="frozenSplit"/>
      <selection pane="bottomLeft" activeCell="D7" sqref="D7"/>
    </sheetView>
  </sheetViews>
  <sheetFormatPr defaultRowHeight="13.8"/>
  <cols>
    <col min="1" max="1" width="5.109375" style="1" customWidth="1"/>
    <col min="2" max="2" width="43.5546875" style="1" customWidth="1"/>
    <col min="3" max="3" width="22.77734375" style="1" customWidth="1"/>
    <col min="4" max="4" width="111.5546875" style="1" customWidth="1"/>
    <col min="5" max="5" width="25.5546875" style="1" bestFit="1" customWidth="1"/>
    <col min="6" max="16384" width="8.88671875" style="1"/>
  </cols>
  <sheetData>
    <row r="1" spans="1:13" ht="15.6">
      <c r="A1" s="77" t="s">
        <v>334</v>
      </c>
      <c r="B1" s="76"/>
      <c r="C1" s="76"/>
      <c r="D1" s="76"/>
      <c r="E1" s="76"/>
      <c r="F1" s="76"/>
      <c r="G1" s="76"/>
      <c r="H1" s="76"/>
      <c r="I1" s="76"/>
      <c r="J1" s="76"/>
      <c r="K1" s="76"/>
      <c r="L1" s="76"/>
      <c r="M1" s="76"/>
    </row>
    <row r="2" spans="1:13">
      <c r="B2" s="44" t="s">
        <v>242</v>
      </c>
      <c r="C2" s="78"/>
      <c r="D2" s="78"/>
      <c r="E2" s="78"/>
    </row>
    <row r="3" spans="1:13" ht="14.4">
      <c r="A3"/>
      <c r="B3"/>
      <c r="C3"/>
      <c r="D3"/>
      <c r="E3"/>
      <c r="F3"/>
      <c r="G3"/>
      <c r="H3"/>
      <c r="I3"/>
      <c r="J3"/>
      <c r="K3"/>
      <c r="L3"/>
      <c r="M3"/>
    </row>
    <row r="4" spans="1:13" ht="14.4">
      <c r="A4"/>
      <c r="B4" s="81" t="s">
        <v>335</v>
      </c>
      <c r="C4" s="79"/>
      <c r="D4" s="79"/>
      <c r="E4"/>
      <c r="F4"/>
      <c r="G4"/>
      <c r="H4"/>
      <c r="I4"/>
      <c r="J4"/>
      <c r="K4"/>
      <c r="L4"/>
      <c r="M4"/>
    </row>
    <row r="5" spans="1:13" ht="14.4">
      <c r="A5"/>
      <c r="B5" s="1" t="s">
        <v>146</v>
      </c>
      <c r="C5" s="75">
        <f>Valuation!C34</f>
        <v>331</v>
      </c>
      <c r="D5"/>
      <c r="E5"/>
      <c r="F5"/>
      <c r="G5"/>
      <c r="H5"/>
      <c r="I5"/>
      <c r="J5"/>
      <c r="K5"/>
      <c r="L5"/>
      <c r="M5"/>
    </row>
    <row r="6" spans="1:13" ht="14.4">
      <c r="A6"/>
      <c r="B6" s="1" t="s">
        <v>336</v>
      </c>
      <c r="C6" s="75">
        <f>Valuation!C72</f>
        <v>468.21210067812888</v>
      </c>
      <c r="D6" s="67" t="str">
        <f>"Bear–Bull DCF range: ₹"&amp;TEXT(Valuation!E81,"#,##0")&amp;" – ₹"&amp;TEXT(Valuation!E83,"#,##0")&amp;"; relative cross-check ₹"&amp;TEXT(Valuation!C61,"#,##0")&amp;" – ₹"&amp;TEXT(Valuation!C63,"#,##0")</f>
        <v>Bear–Bull DCF range: ₹335 – ₹610; relative cross-check ₹280 – ₹466</v>
      </c>
      <c r="E6"/>
      <c r="F6"/>
      <c r="G6"/>
      <c r="H6"/>
      <c r="I6"/>
      <c r="J6"/>
      <c r="K6"/>
      <c r="L6"/>
      <c r="M6"/>
    </row>
    <row r="7" spans="1:13" ht="14.4">
      <c r="A7"/>
      <c r="B7" s="1" t="s">
        <v>337</v>
      </c>
      <c r="C7" s="75">
        <f>Valuation!C69</f>
        <v>372.74490529172323</v>
      </c>
      <c r="D7"/>
      <c r="E7"/>
      <c r="F7"/>
      <c r="G7"/>
      <c r="H7"/>
      <c r="I7"/>
      <c r="J7"/>
      <c r="K7"/>
      <c r="L7"/>
      <c r="M7"/>
    </row>
    <row r="8" spans="1:13" ht="14.4">
      <c r="A8"/>
      <c r="B8" s="1" t="s">
        <v>338</v>
      </c>
      <c r="C8" s="29" t="str">
        <f>Valuation!C75</f>
        <v>UNDERVALUED</v>
      </c>
      <c r="D8"/>
      <c r="E8"/>
      <c r="F8"/>
      <c r="G8"/>
      <c r="H8"/>
      <c r="I8"/>
      <c r="J8"/>
      <c r="K8"/>
      <c r="L8"/>
      <c r="M8"/>
    </row>
    <row r="9" spans="1:13" ht="14.4">
      <c r="A9"/>
      <c r="B9" s="1" t="s">
        <v>339</v>
      </c>
      <c r="C9" s="17">
        <f>C6/C5-1</f>
        <v>0.41453806851398456</v>
      </c>
      <c r="D9"/>
      <c r="E9"/>
      <c r="F9"/>
      <c r="G9"/>
      <c r="H9"/>
      <c r="I9"/>
      <c r="J9"/>
      <c r="K9"/>
      <c r="L9"/>
      <c r="M9"/>
    </row>
    <row r="10" spans="1:13" ht="14.4">
      <c r="A10"/>
      <c r="B10" s="28" t="s">
        <v>340</v>
      </c>
      <c r="C10" s="28" t="str">
        <f>IF(C9&gt;0.15,"BUY",IF(C9&gt;=-0.12,"HOLD","SELL"))</f>
        <v>BUY</v>
      </c>
      <c r="D10" s="67" t="s">
        <v>341</v>
      </c>
      <c r="E10"/>
      <c r="F10"/>
      <c r="G10"/>
      <c r="H10"/>
      <c r="I10"/>
      <c r="J10"/>
      <c r="K10"/>
      <c r="L10"/>
      <c r="M10"/>
    </row>
    <row r="11" spans="1:13" ht="14.4">
      <c r="A11"/>
      <c r="B11"/>
      <c r="C11"/>
      <c r="D11"/>
      <c r="E11"/>
      <c r="F11"/>
      <c r="G11"/>
      <c r="H11"/>
      <c r="I11"/>
      <c r="J11"/>
      <c r="K11"/>
      <c r="L11"/>
      <c r="M11"/>
    </row>
    <row r="12" spans="1:13" ht="14.4">
      <c r="A12"/>
      <c r="B12" s="81" t="s">
        <v>342</v>
      </c>
      <c r="C12" s="79"/>
      <c r="D12" s="79"/>
      <c r="E12"/>
      <c r="F12"/>
      <c r="G12"/>
      <c r="H12"/>
      <c r="I12"/>
      <c r="J12"/>
      <c r="K12"/>
      <c r="L12"/>
      <c r="M12"/>
    </row>
    <row r="13" spans="1:13" ht="14.4">
      <c r="A13"/>
      <c r="B13" s="1" t="s">
        <v>343</v>
      </c>
      <c r="C13" s="68" t="s">
        <v>344</v>
      </c>
      <c r="D13" s="67" t="s">
        <v>345</v>
      </c>
      <c r="E13"/>
      <c r="F13"/>
      <c r="G13"/>
      <c r="H13"/>
      <c r="I13"/>
      <c r="J13"/>
      <c r="K13"/>
      <c r="L13"/>
      <c r="M13"/>
    </row>
    <row r="14" spans="1:13" ht="14.4">
      <c r="A14"/>
      <c r="B14" s="1" t="s">
        <v>346</v>
      </c>
      <c r="C14" s="68" t="s">
        <v>347</v>
      </c>
      <c r="D14" s="67" t="s">
        <v>348</v>
      </c>
      <c r="E14"/>
      <c r="F14"/>
      <c r="G14"/>
      <c r="H14"/>
      <c r="I14"/>
      <c r="J14"/>
      <c r="K14"/>
      <c r="L14"/>
      <c r="M14"/>
    </row>
    <row r="15" spans="1:13" ht="14.4">
      <c r="A15"/>
      <c r="B15" s="1" t="s">
        <v>349</v>
      </c>
      <c r="C15" s="68" t="s">
        <v>350</v>
      </c>
      <c r="D15" s="67" t="s">
        <v>351</v>
      </c>
      <c r="E15"/>
      <c r="F15"/>
      <c r="G15"/>
      <c r="H15"/>
      <c r="I15"/>
      <c r="J15"/>
      <c r="K15"/>
      <c r="L15"/>
      <c r="M15"/>
    </row>
    <row r="16" spans="1:13" ht="14.4">
      <c r="A16"/>
      <c r="B16" s="1" t="s">
        <v>284</v>
      </c>
      <c r="C16" s="68" t="s">
        <v>352</v>
      </c>
      <c r="D16" s="67" t="str">
        <f>"At ~14× FY27E earnings vs pure-India peers at 22–37×, the market already prices a deep JLR discount; DCF fair value ₹"&amp;TEXT(Valuation!C33,"#,##0")&amp;" implies ~"&amp;TEXT(Valuation!C35,"0%")&amp;" upside."</f>
        <v>At ~14× FY27E earnings vs pure-India peers at 22–37×, the market already prices a deep JLR discount; DCF fair value ₹468 implies ~41% upside.</v>
      </c>
      <c r="E16"/>
      <c r="F16"/>
      <c r="G16"/>
      <c r="H16"/>
      <c r="I16"/>
      <c r="J16"/>
      <c r="K16"/>
      <c r="L16"/>
      <c r="M16"/>
    </row>
    <row r="17" spans="1:13" ht="14.4">
      <c r="A17"/>
      <c r="B17"/>
      <c r="C17"/>
      <c r="D17"/>
      <c r="E17"/>
      <c r="F17"/>
      <c r="G17"/>
      <c r="H17"/>
      <c r="I17"/>
      <c r="J17"/>
      <c r="K17"/>
      <c r="L17"/>
      <c r="M17"/>
    </row>
    <row r="18" spans="1:13" ht="14.4">
      <c r="A18"/>
      <c r="B18" s="81" t="s">
        <v>353</v>
      </c>
      <c r="C18" s="79"/>
      <c r="D18" s="79"/>
      <c r="E18"/>
      <c r="F18"/>
      <c r="G18"/>
      <c r="H18"/>
      <c r="I18"/>
      <c r="J18"/>
      <c r="K18"/>
      <c r="L18"/>
      <c r="M18"/>
    </row>
    <row r="19" spans="1:13" ht="14.4">
      <c r="A19"/>
      <c r="B19" s="1" t="s">
        <v>354</v>
      </c>
      <c r="C19"/>
      <c r="D19" s="67" t="s">
        <v>355</v>
      </c>
      <c r="E19"/>
      <c r="F19"/>
      <c r="G19"/>
      <c r="H19"/>
      <c r="I19"/>
      <c r="J19"/>
      <c r="K19"/>
      <c r="L19"/>
      <c r="M19"/>
    </row>
    <row r="20" spans="1:13" ht="14.4">
      <c r="A20"/>
      <c r="B20" s="1" t="s">
        <v>356</v>
      </c>
      <c r="C20"/>
      <c r="D20" s="67" t="s">
        <v>357</v>
      </c>
      <c r="E20"/>
      <c r="F20"/>
      <c r="G20"/>
      <c r="H20"/>
      <c r="I20"/>
      <c r="J20"/>
      <c r="K20"/>
      <c r="L20"/>
      <c r="M20"/>
    </row>
    <row r="21" spans="1:13" ht="14.4">
      <c r="A21"/>
      <c r="B21"/>
      <c r="C21"/>
      <c r="D21"/>
      <c r="E21"/>
      <c r="F21"/>
      <c r="G21"/>
      <c r="H21"/>
      <c r="I21"/>
      <c r="J21"/>
      <c r="K21"/>
      <c r="L21"/>
      <c r="M21"/>
    </row>
    <row r="22" spans="1:13" ht="14.4">
      <c r="A22"/>
      <c r="B22" s="81" t="s">
        <v>358</v>
      </c>
      <c r="C22" s="79"/>
      <c r="D22" s="79"/>
      <c r="E22"/>
      <c r="F22"/>
      <c r="G22"/>
      <c r="H22"/>
      <c r="I22"/>
      <c r="J22"/>
      <c r="K22"/>
      <c r="L22"/>
      <c r="M22"/>
    </row>
    <row r="23" spans="1:13" ht="14.4">
      <c r="A23"/>
      <c r="B23" s="1" t="s">
        <v>359</v>
      </c>
      <c r="C23"/>
      <c r="D23" s="67" t="s">
        <v>360</v>
      </c>
      <c r="E23"/>
      <c r="F23"/>
      <c r="G23"/>
      <c r="H23"/>
      <c r="I23"/>
      <c r="J23"/>
      <c r="K23"/>
      <c r="L23"/>
      <c r="M23"/>
    </row>
    <row r="24" spans="1:13" ht="14.4">
      <c r="A24"/>
      <c r="B24" s="1" t="s">
        <v>361</v>
      </c>
      <c r="C24"/>
      <c r="D24" s="67" t="s">
        <v>362</v>
      </c>
      <c r="E24"/>
      <c r="F24"/>
      <c r="G24"/>
      <c r="H24"/>
      <c r="I24"/>
      <c r="J24"/>
      <c r="K24"/>
      <c r="L24"/>
      <c r="M24"/>
    </row>
    <row r="25" spans="1:13" ht="14.4">
      <c r="A25"/>
      <c r="B25" s="1" t="s">
        <v>363</v>
      </c>
      <c r="C25"/>
      <c r="D25" s="67" t="s">
        <v>364</v>
      </c>
      <c r="E25"/>
      <c r="F25"/>
      <c r="G25"/>
      <c r="H25"/>
      <c r="I25"/>
      <c r="J25"/>
      <c r="K25"/>
      <c r="L25"/>
      <c r="M25"/>
    </row>
    <row r="26" spans="1:13" ht="14.4">
      <c r="A26"/>
      <c r="B26" s="1" t="s">
        <v>365</v>
      </c>
      <c r="C26"/>
      <c r="D26" s="67" t="s">
        <v>366</v>
      </c>
      <c r="E26"/>
      <c r="F26"/>
      <c r="G26"/>
      <c r="H26"/>
      <c r="I26"/>
      <c r="J26"/>
      <c r="K26"/>
      <c r="L26"/>
      <c r="M26"/>
    </row>
    <row r="27" spans="1:13" ht="14.4">
      <c r="A27"/>
      <c r="B27"/>
      <c r="C27"/>
      <c r="D27"/>
      <c r="E27"/>
      <c r="F27"/>
      <c r="G27"/>
      <c r="H27"/>
      <c r="I27"/>
      <c r="J27"/>
      <c r="K27"/>
      <c r="L27"/>
      <c r="M27"/>
    </row>
    <row r="28" spans="1:13" ht="14.4">
      <c r="A28"/>
      <c r="B28" s="28" t="s">
        <v>367</v>
      </c>
      <c r="C28"/>
      <c r="D28"/>
      <c r="E28"/>
      <c r="F28"/>
      <c r="G28"/>
      <c r="H28"/>
      <c r="I28"/>
      <c r="J28"/>
      <c r="K28"/>
      <c r="L28"/>
      <c r="M28"/>
    </row>
    <row r="29" spans="1:13" ht="14.4">
      <c r="A29"/>
      <c r="B29"/>
      <c r="C29"/>
      <c r="D29"/>
      <c r="E29"/>
      <c r="F29"/>
      <c r="G29"/>
      <c r="H29"/>
      <c r="I29"/>
      <c r="J29"/>
      <c r="K29"/>
      <c r="L29"/>
      <c r="M29"/>
    </row>
    <row r="30" spans="1:13" ht="14.4">
      <c r="A30"/>
      <c r="B30"/>
      <c r="C30"/>
      <c r="D30"/>
      <c r="E30"/>
      <c r="F30"/>
      <c r="G30"/>
      <c r="H30"/>
      <c r="I30"/>
      <c r="J30"/>
      <c r="K30"/>
      <c r="L30"/>
      <c r="M30"/>
    </row>
    <row r="31" spans="1:13" ht="14.4">
      <c r="A31"/>
      <c r="B31"/>
      <c r="C31"/>
      <c r="D31"/>
      <c r="E31"/>
      <c r="F31"/>
      <c r="G31"/>
      <c r="H31"/>
      <c r="I31"/>
      <c r="J31"/>
      <c r="K31"/>
      <c r="L31"/>
      <c r="M31"/>
    </row>
    <row r="32" spans="1:13" ht="14.4">
      <c r="A32"/>
      <c r="B32"/>
      <c r="C32"/>
      <c r="D32"/>
      <c r="E32"/>
      <c r="F32"/>
      <c r="G32"/>
      <c r="H32"/>
      <c r="I32"/>
      <c r="J32"/>
      <c r="K32"/>
      <c r="L32"/>
      <c r="M32"/>
    </row>
    <row r="33" spans="1:13" ht="14.4">
      <c r="A33"/>
      <c r="B33"/>
      <c r="C33"/>
      <c r="D33"/>
      <c r="E33"/>
      <c r="F33"/>
      <c r="G33"/>
      <c r="H33"/>
      <c r="I33"/>
      <c r="J33"/>
      <c r="K33"/>
      <c r="L33"/>
      <c r="M33"/>
    </row>
    <row r="34" spans="1:13" ht="14.4">
      <c r="A34"/>
      <c r="B34"/>
      <c r="C34"/>
      <c r="D34"/>
      <c r="E34"/>
      <c r="F34"/>
      <c r="G34"/>
      <c r="H34"/>
      <c r="I34"/>
      <c r="J34"/>
      <c r="K34"/>
      <c r="L34"/>
      <c r="M34"/>
    </row>
    <row r="35" spans="1:13" ht="14.4">
      <c r="A35"/>
      <c r="B35"/>
      <c r="C35"/>
      <c r="D35"/>
      <c r="E35"/>
      <c r="F35"/>
      <c r="G35"/>
      <c r="H35"/>
      <c r="I35"/>
      <c r="J35"/>
      <c r="K35"/>
      <c r="L35"/>
      <c r="M35"/>
    </row>
    <row r="36" spans="1:13" ht="14.4">
      <c r="A36"/>
      <c r="B36"/>
      <c r="C36"/>
      <c r="D36"/>
      <c r="E36"/>
      <c r="F36"/>
      <c r="G36"/>
      <c r="H36"/>
      <c r="I36"/>
      <c r="J36"/>
      <c r="K36"/>
      <c r="L36"/>
      <c r="M36"/>
    </row>
    <row r="37" spans="1:13" ht="14.4">
      <c r="A37"/>
      <c r="B37"/>
      <c r="C37"/>
      <c r="D37"/>
      <c r="E37"/>
      <c r="F37"/>
      <c r="G37"/>
      <c r="H37"/>
      <c r="I37"/>
      <c r="J37"/>
      <c r="K37"/>
      <c r="L37"/>
      <c r="M37"/>
    </row>
    <row r="38" spans="1:13" ht="14.4">
      <c r="A38"/>
      <c r="B38"/>
      <c r="C38"/>
      <c r="D38"/>
      <c r="E38"/>
      <c r="F38"/>
      <c r="G38"/>
      <c r="H38"/>
      <c r="I38"/>
      <c r="J38"/>
      <c r="K38"/>
      <c r="L38"/>
      <c r="M38"/>
    </row>
    <row r="39" spans="1:13" ht="14.4">
      <c r="A39"/>
      <c r="B39"/>
      <c r="C39"/>
      <c r="D39"/>
      <c r="E39"/>
      <c r="F39"/>
      <c r="G39"/>
      <c r="H39"/>
      <c r="I39"/>
      <c r="J39"/>
      <c r="K39"/>
      <c r="L39"/>
      <c r="M39"/>
    </row>
    <row r="40" spans="1:13" ht="14.4">
      <c r="A40"/>
      <c r="B40"/>
      <c r="C40"/>
      <c r="D40"/>
      <c r="E40"/>
      <c r="F40"/>
      <c r="G40"/>
      <c r="H40"/>
      <c r="I40"/>
      <c r="J40"/>
      <c r="K40"/>
      <c r="L40"/>
      <c r="M40"/>
    </row>
    <row r="49" spans="8:9">
      <c r="H49" s="82" t="s">
        <v>368</v>
      </c>
    </row>
    <row r="50" spans="8:9">
      <c r="H50" s="82" t="s">
        <v>369</v>
      </c>
      <c r="I50" s="83">
        <f>Valuation!C34</f>
        <v>331</v>
      </c>
    </row>
    <row r="51" spans="8:9">
      <c r="H51" s="82" t="s">
        <v>370</v>
      </c>
      <c r="I51" s="83">
        <f>Valuation!C33</f>
        <v>468.21210067812888</v>
      </c>
    </row>
  </sheetData>
  <pageMargins left="0.75" right="0.75" top="1" bottom="1" header="0.5" footer="0.5"/>
  <pageSetup scale="35" fitToHeight="0" orientation="landscape" r:id="rId1"/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175C5-C929-411F-A5F2-02B397E39E30}">
  <dimension ref="A1:N53"/>
  <sheetViews>
    <sheetView topLeftCell="A31" workbookViewId="0">
      <selection activeCell="B46" sqref="B46"/>
    </sheetView>
  </sheetViews>
  <sheetFormatPr defaultRowHeight="14.4"/>
  <cols>
    <col min="1" max="1" width="2.77734375" customWidth="1"/>
    <col min="2" max="2" width="19.5546875" customWidth="1"/>
  </cols>
  <sheetData>
    <row r="1" spans="1:14" ht="18">
      <c r="A1" s="109"/>
      <c r="B1" s="108" t="s">
        <v>439</v>
      </c>
      <c r="C1" s="109"/>
      <c r="D1" s="109"/>
      <c r="E1" s="109"/>
      <c r="F1" s="109"/>
      <c r="G1" s="109"/>
      <c r="H1" s="109"/>
      <c r="I1" s="109"/>
      <c r="J1" s="109"/>
      <c r="K1" s="109"/>
      <c r="L1" s="109"/>
      <c r="M1" s="109"/>
      <c r="N1" s="109"/>
    </row>
    <row r="2" spans="1:14">
      <c r="B2" s="110" t="s">
        <v>440</v>
      </c>
    </row>
    <row r="40" spans="2:11">
      <c r="B40" s="111" t="s">
        <v>441</v>
      </c>
    </row>
    <row r="42" spans="2:11">
      <c r="C42" t="s">
        <v>43</v>
      </c>
      <c r="D42" t="s">
        <v>44</v>
      </c>
      <c r="E42" t="s">
        <v>45</v>
      </c>
      <c r="F42" t="s">
        <v>86</v>
      </c>
      <c r="G42" t="s">
        <v>19</v>
      </c>
      <c r="H42" t="s">
        <v>20</v>
      </c>
      <c r="I42" t="s">
        <v>21</v>
      </c>
      <c r="J42" t="s">
        <v>22</v>
      </c>
      <c r="K42" t="s">
        <v>23</v>
      </c>
    </row>
    <row r="43" spans="2:11">
      <c r="B43" t="s">
        <v>442</v>
      </c>
      <c r="C43" s="112">
        <f>'Historical Data'!K6</f>
        <v>345967</v>
      </c>
      <c r="D43" s="112">
        <f>'Historical Data'!L6</f>
        <v>434016</v>
      </c>
      <c r="E43" s="112">
        <f>'Historical Data'!M6</f>
        <v>366094</v>
      </c>
      <c r="F43" s="112">
        <f>'Historical Data'!N6</f>
        <v>335582</v>
      </c>
      <c r="G43" s="112">
        <f>'Income Statement'!D4</f>
        <v>375851.84</v>
      </c>
      <c r="H43" s="112">
        <f>'Income Statement'!E4</f>
        <v>402161.46880000003</v>
      </c>
      <c r="I43" s="112">
        <f>'Income Statement'!F4</f>
        <v>426291.15692800004</v>
      </c>
      <c r="J43" s="112">
        <f>'Income Statement'!G4</f>
        <v>447605.71477440005</v>
      </c>
      <c r="K43" s="112">
        <f>'Income Statement'!H4</f>
        <v>469986.00051312009</v>
      </c>
    </row>
    <row r="45" spans="2:11">
      <c r="C45" t="s">
        <v>43</v>
      </c>
      <c r="D45" t="s">
        <v>44</v>
      </c>
      <c r="E45" t="s">
        <v>45</v>
      </c>
      <c r="F45" t="s">
        <v>86</v>
      </c>
      <c r="G45" t="s">
        <v>19</v>
      </c>
      <c r="H45" t="s">
        <v>20</v>
      </c>
      <c r="I45" t="s">
        <v>21</v>
      </c>
      <c r="J45" t="s">
        <v>22</v>
      </c>
      <c r="K45" t="s">
        <v>23</v>
      </c>
    </row>
    <row r="46" spans="2:11">
      <c r="B46" t="s">
        <v>25</v>
      </c>
      <c r="C46" s="113">
        <f>'Historical Data'!K8/'Historical Data'!K6</f>
        <v>9.1962528218009237E-2</v>
      </c>
      <c r="D46" s="113">
        <f>'Historical Data'!L8/'Historical Data'!L6</f>
        <v>0.13319555039445549</v>
      </c>
      <c r="E46" s="113">
        <f>'Historical Data'!M8/'Historical Data'!M6</f>
        <v>0.13109474615809055</v>
      </c>
      <c r="F46" s="113">
        <f>'Historical Data'!N8/'Historical Data'!N6</f>
        <v>5.5780703375032034E-2</v>
      </c>
      <c r="G46" s="113">
        <f>'Income Statement'!D7</f>
        <v>9.5000000000000001E-2</v>
      </c>
      <c r="H46" s="113">
        <f>'Income Statement'!E7</f>
        <v>0.105</v>
      </c>
      <c r="I46" s="113">
        <f>'Income Statement'!F7</f>
        <v>0.11</v>
      </c>
      <c r="J46" s="113">
        <f>'Income Statement'!G7</f>
        <v>0.115</v>
      </c>
      <c r="K46" s="113">
        <f>'Income Statement'!H7</f>
        <v>0.12</v>
      </c>
    </row>
    <row r="48" spans="2:11">
      <c r="C48" t="s">
        <v>86</v>
      </c>
      <c r="D48" t="s">
        <v>19</v>
      </c>
      <c r="E48" t="s">
        <v>20</v>
      </c>
      <c r="F48" t="s">
        <v>21</v>
      </c>
      <c r="G48" t="s">
        <v>22</v>
      </c>
      <c r="H48" t="s">
        <v>23</v>
      </c>
    </row>
    <row r="49" spans="2:8">
      <c r="B49" t="s">
        <v>443</v>
      </c>
      <c r="C49" s="112">
        <f>'Income Statement'!C26</f>
        <v>-3646</v>
      </c>
      <c r="D49" s="112">
        <f>'Income Statement'!D14</f>
        <v>8584.7811000000002</v>
      </c>
      <c r="E49" s="112">
        <f>'Income Statement'!E14</f>
        <v>13005.849008592639</v>
      </c>
      <c r="F49" s="112">
        <f>'Income Statement'!F14</f>
        <v>15756.773661831341</v>
      </c>
      <c r="G49" s="112">
        <f>'Income Statement'!G14</f>
        <v>18943.359494436198</v>
      </c>
      <c r="H49" s="112">
        <f>'Income Statement'!H14</f>
        <v>22645.878047035854</v>
      </c>
    </row>
    <row r="51" spans="2:8">
      <c r="C51" t="s">
        <v>86</v>
      </c>
      <c r="D51" t="s">
        <v>19</v>
      </c>
      <c r="E51" t="s">
        <v>20</v>
      </c>
      <c r="F51" t="s">
        <v>21</v>
      </c>
      <c r="G51" t="s">
        <v>22</v>
      </c>
      <c r="H51" t="s">
        <v>23</v>
      </c>
    </row>
    <row r="52" spans="2:8">
      <c r="B52" t="s">
        <v>444</v>
      </c>
      <c r="C52" s="112"/>
      <c r="D52" s="112">
        <f>Valuation!D19</f>
        <v>3017.5047341369645</v>
      </c>
      <c r="E52" s="112">
        <f>Valuation!E19</f>
        <v>5450.8272873282622</v>
      </c>
      <c r="F52" s="112">
        <f>Valuation!F19</f>
        <v>11325.367612195383</v>
      </c>
      <c r="G52" s="112">
        <f>Valuation!G19</f>
        <v>14980.543200976063</v>
      </c>
      <c r="H52" s="112">
        <f>Valuation!H19</f>
        <v>17338.772406894568</v>
      </c>
    </row>
    <row r="53" spans="2:8">
      <c r="B53" t="s">
        <v>167</v>
      </c>
      <c r="C53" s="112">
        <f>'Ratio Analysis'!C15</f>
        <v>30710</v>
      </c>
      <c r="D53" s="112">
        <f>'Ratio Analysis'!D15</f>
        <v>30071.799930863024</v>
      </c>
      <c r="E53" s="112">
        <f>'Ratio Analysis'!E15</f>
        <v>27223.779992231022</v>
      </c>
      <c r="F53" s="112">
        <f>'Ratio Analysis'!F15</f>
        <v>18657.057679019024</v>
      </c>
      <c r="G53" s="112">
        <f>'Ratio Analysis'!G15</f>
        <v>6441.8955651715878</v>
      </c>
      <c r="H53" s="112">
        <f>'Ratio Analysis'!H15</f>
        <v>-8184.1865509736454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392012-F39D-449B-8F62-00A35788F0C1}">
  <dimension ref="A1:K11"/>
  <sheetViews>
    <sheetView workbookViewId="0">
      <selection activeCell="A2" sqref="A2"/>
    </sheetView>
  </sheetViews>
  <sheetFormatPr defaultRowHeight="14.4"/>
  <cols>
    <col min="1" max="1" width="5.109375" customWidth="1"/>
    <col min="2" max="2" width="55.77734375" customWidth="1"/>
    <col min="3" max="3" width="14.77734375" customWidth="1"/>
    <col min="4" max="4" width="10.77734375" customWidth="1"/>
    <col min="5" max="5" width="80.77734375" customWidth="1"/>
  </cols>
  <sheetData>
    <row r="1" spans="1:11" ht="15.6">
      <c r="A1" s="77" t="s">
        <v>417</v>
      </c>
      <c r="B1" s="105"/>
      <c r="C1" s="105"/>
      <c r="D1" s="105"/>
      <c r="E1" s="105"/>
      <c r="F1" s="105"/>
      <c r="G1" s="105"/>
      <c r="H1" s="105"/>
      <c r="I1" s="105"/>
      <c r="J1" s="105"/>
      <c r="K1" s="105"/>
    </row>
    <row r="2" spans="1:11">
      <c r="B2" s="44" t="s">
        <v>418</v>
      </c>
    </row>
    <row r="4" spans="1:11">
      <c r="B4" s="28" t="s">
        <v>419</v>
      </c>
      <c r="C4" s="28" t="s">
        <v>420</v>
      </c>
      <c r="D4" s="28" t="s">
        <v>421</v>
      </c>
      <c r="E4" s="28" t="s">
        <v>422</v>
      </c>
    </row>
    <row r="5" spans="1:11">
      <c r="B5" s="1" t="s">
        <v>423</v>
      </c>
      <c r="C5" s="106">
        <f t="array" ref="C5">MAX(ABS('Balance Sheet'!C16:H16))</f>
        <v>0</v>
      </c>
      <c r="D5" s="107" t="str">
        <f t="shared" ref="D5:D11" si="0">IF(C5&lt;0.01,"PASS","FAIL")</f>
        <v>PASS</v>
      </c>
      <c r="E5" s="44" t="s">
        <v>424</v>
      </c>
    </row>
    <row r="6" spans="1:11">
      <c r="B6" s="1" t="s">
        <v>425</v>
      </c>
      <c r="C6" s="106">
        <f t="array" ref="C6">MAX(ABS('Balance Sheet'!D8:H8-'Cash Flow'!D17:H17))</f>
        <v>0</v>
      </c>
      <c r="D6" s="107" t="str">
        <f t="shared" si="0"/>
        <v>PASS</v>
      </c>
      <c r="E6" s="44" t="s">
        <v>426</v>
      </c>
    </row>
    <row r="7" spans="1:11">
      <c r="B7" s="1" t="s">
        <v>427</v>
      </c>
      <c r="C7" s="106">
        <f t="array" ref="C7">MAX(ABS('Balance Sheet'!D11:H11-('Balance Sheet'!C11:G11+'Income Statement'!D14:H14-'Income Statement'!D16:H16)))</f>
        <v>0</v>
      </c>
      <c r="D7" s="107" t="str">
        <f t="shared" si="0"/>
        <v>PASS</v>
      </c>
      <c r="E7" s="44" t="s">
        <v>428</v>
      </c>
    </row>
    <row r="8" spans="1:11">
      <c r="B8" s="1" t="s">
        <v>429</v>
      </c>
      <c r="C8" s="106">
        <f t="array" ref="C8">MAX(ABS('Balance Sheet'!D13:H13-'Debt Schedule'!D8:H8))</f>
        <v>0</v>
      </c>
      <c r="D8" s="107" t="str">
        <f t="shared" si="0"/>
        <v>PASS</v>
      </c>
      <c r="E8" s="44" t="s">
        <v>430</v>
      </c>
    </row>
    <row r="9" spans="1:11">
      <c r="B9" s="1" t="s">
        <v>431</v>
      </c>
      <c r="C9" s="106">
        <f t="array" ref="C9">MAX(ABS('Balance Sheet'!D4:H4-'Dep &amp; Capex Schedule'!D16:H16))</f>
        <v>0</v>
      </c>
      <c r="D9" s="107" t="str">
        <f t="shared" si="0"/>
        <v>PASS</v>
      </c>
      <c r="E9" s="44" t="s">
        <v>432</v>
      </c>
    </row>
    <row r="10" spans="1:11">
      <c r="B10" s="1" t="s">
        <v>433</v>
      </c>
      <c r="C10" s="106">
        <f t="array" ref="C10">MAX(ABS('Balance Sheet'!D6:H6-'Working Capital Schedule'!D14:H14))</f>
        <v>0</v>
      </c>
      <c r="D10" s="107" t="str">
        <f t="shared" si="0"/>
        <v>PASS</v>
      </c>
      <c r="E10" s="44" t="s">
        <v>434</v>
      </c>
    </row>
    <row r="11" spans="1:11">
      <c r="B11" s="1" t="s">
        <v>435</v>
      </c>
      <c r="C11" s="106">
        <f>IF(ISNUMBER(Valuation!C33),0,1)</f>
        <v>0</v>
      </c>
      <c r="D11" s="107" t="str">
        <f t="shared" si="0"/>
        <v>PASS</v>
      </c>
      <c r="E11" s="44" t="s">
        <v>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Cover</vt:lpstr>
      <vt:lpstr>Historical Data</vt:lpstr>
      <vt:lpstr>Assumptions</vt:lpstr>
      <vt:lpstr>Ratio Analysis</vt:lpstr>
      <vt:lpstr>Working Capital Schedule</vt:lpstr>
      <vt:lpstr>Dep &amp; Capex Schedule</vt:lpstr>
      <vt:lpstr>Debt Schedule</vt:lpstr>
      <vt:lpstr>Income Statement</vt:lpstr>
      <vt:lpstr>Balance Sheet</vt:lpstr>
      <vt:lpstr>Cash Flow</vt:lpstr>
      <vt:lpstr>Valuation</vt:lpstr>
      <vt:lpstr>Recommendation</vt:lpstr>
      <vt:lpstr>Charts &amp; Trends</vt:lpstr>
      <vt:lpstr>Checks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Vivek Kumar</cp:lastModifiedBy>
  <cp:lastPrinted>2026-08-20T16:12:30Z</cp:lastPrinted>
  <dcterms:created xsi:type="dcterms:W3CDTF">2026-08-17T10:14:29Z</dcterms:created>
  <dcterms:modified xsi:type="dcterms:W3CDTF">2026-08-27T14:49:37Z</dcterms:modified>
</cp:coreProperties>
</file>